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an\DirPMOEM\Tablero2\"/>
    </mc:Choice>
  </mc:AlternateContent>
  <xr:revisionPtr revIDLastSave="0" documentId="13_ncr:1_{97605190-2626-4874-9E77-C2EFD2F94B2C}" xr6:coauthVersionLast="47" xr6:coauthVersionMax="47" xr10:uidLastSave="{00000000-0000-0000-0000-000000000000}"/>
  <bookViews>
    <workbookView xWindow="250" yWindow="250" windowWidth="18560" windowHeight="9660" xr2:uid="{326FFED0-ADAC-42F7-97C5-08654C75388D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L2" i="1"/>
  <c r="M2" i="1"/>
  <c r="N2" i="1"/>
  <c r="O2" i="1"/>
  <c r="P2" i="1"/>
  <c r="Q2" i="1"/>
  <c r="R2" i="1"/>
  <c r="J3" i="1"/>
  <c r="K3" i="1"/>
  <c r="L3" i="1"/>
  <c r="M3" i="1"/>
  <c r="N3" i="1"/>
  <c r="O3" i="1"/>
  <c r="P3" i="1"/>
  <c r="Q3" i="1"/>
  <c r="R3" i="1"/>
  <c r="J4" i="1"/>
  <c r="K4" i="1"/>
  <c r="L4" i="1"/>
  <c r="M4" i="1"/>
  <c r="N4" i="1"/>
  <c r="O4" i="1"/>
  <c r="P4" i="1"/>
  <c r="Q4" i="1"/>
  <c r="R4" i="1"/>
  <c r="J5" i="1"/>
  <c r="K5" i="1"/>
  <c r="L5" i="1"/>
  <c r="M5" i="1"/>
  <c r="N5" i="1"/>
  <c r="O5" i="1"/>
  <c r="P5" i="1"/>
  <c r="Q5" i="1"/>
  <c r="R5" i="1"/>
  <c r="J6" i="1"/>
  <c r="K6" i="1"/>
  <c r="L6" i="1"/>
  <c r="M6" i="1"/>
  <c r="N6" i="1"/>
  <c r="O6" i="1"/>
  <c r="P6" i="1"/>
  <c r="Q6" i="1"/>
  <c r="R6" i="1"/>
  <c r="J7" i="1"/>
  <c r="K7" i="1"/>
  <c r="L7" i="1"/>
  <c r="M7" i="1"/>
  <c r="N7" i="1"/>
  <c r="O7" i="1"/>
  <c r="P7" i="1"/>
  <c r="Q7" i="1"/>
  <c r="R7" i="1"/>
  <c r="J8" i="1"/>
  <c r="K8" i="1"/>
  <c r="L8" i="1"/>
  <c r="M8" i="1"/>
  <c r="N8" i="1"/>
  <c r="O8" i="1"/>
  <c r="P8" i="1"/>
  <c r="Q8" i="1"/>
  <c r="R8" i="1"/>
  <c r="J9" i="1"/>
  <c r="K9" i="1"/>
  <c r="L9" i="1"/>
  <c r="M9" i="1"/>
  <c r="N9" i="1"/>
  <c r="O9" i="1"/>
  <c r="P9" i="1"/>
  <c r="Q9" i="1"/>
  <c r="R9" i="1"/>
  <c r="J10" i="1"/>
  <c r="K10" i="1"/>
  <c r="L10" i="1"/>
  <c r="M10" i="1"/>
  <c r="N10" i="1"/>
  <c r="O10" i="1"/>
  <c r="P10" i="1"/>
  <c r="Q10" i="1"/>
  <c r="R10" i="1"/>
  <c r="J11" i="1"/>
  <c r="K11" i="1"/>
  <c r="L11" i="1"/>
  <c r="M11" i="1"/>
  <c r="N11" i="1"/>
  <c r="O11" i="1"/>
  <c r="P11" i="1"/>
  <c r="Q11" i="1"/>
  <c r="R11" i="1"/>
  <c r="J12" i="1"/>
  <c r="K12" i="1"/>
  <c r="L12" i="1"/>
  <c r="M12" i="1"/>
  <c r="N12" i="1"/>
  <c r="O12" i="1"/>
  <c r="P12" i="1"/>
  <c r="Q12" i="1"/>
  <c r="R12" i="1"/>
  <c r="J13" i="1"/>
  <c r="K13" i="1"/>
  <c r="L13" i="1"/>
  <c r="M13" i="1"/>
  <c r="N13" i="1"/>
  <c r="O13" i="1"/>
  <c r="P13" i="1"/>
  <c r="Q13" i="1"/>
  <c r="R13" i="1"/>
  <c r="J14" i="1"/>
  <c r="K14" i="1"/>
  <c r="L14" i="1"/>
  <c r="M14" i="1"/>
  <c r="N14" i="1"/>
  <c r="O14" i="1"/>
  <c r="P14" i="1"/>
  <c r="Q14" i="1"/>
  <c r="R14" i="1"/>
  <c r="J15" i="1"/>
  <c r="K15" i="1"/>
  <c r="L15" i="1"/>
  <c r="M15" i="1"/>
  <c r="N15" i="1"/>
  <c r="O15" i="1"/>
  <c r="P15" i="1"/>
  <c r="Q15" i="1"/>
  <c r="R15" i="1"/>
  <c r="J16" i="1"/>
  <c r="K16" i="1"/>
  <c r="L16" i="1"/>
  <c r="M16" i="1"/>
  <c r="N16" i="1"/>
  <c r="O16" i="1"/>
  <c r="P16" i="1"/>
  <c r="Q16" i="1"/>
  <c r="R16" i="1"/>
  <c r="J17" i="1"/>
  <c r="K17" i="1"/>
  <c r="L17" i="1"/>
  <c r="M17" i="1"/>
  <c r="N17" i="1"/>
  <c r="O17" i="1"/>
  <c r="P17" i="1"/>
  <c r="Q17" i="1"/>
  <c r="R17" i="1"/>
  <c r="J18" i="1"/>
  <c r="K18" i="1"/>
  <c r="L18" i="1"/>
  <c r="M18" i="1"/>
  <c r="N18" i="1"/>
  <c r="O18" i="1"/>
  <c r="P18" i="1"/>
  <c r="Q18" i="1"/>
  <c r="R18" i="1"/>
  <c r="J19" i="1"/>
  <c r="K19" i="1"/>
  <c r="L19" i="1"/>
  <c r="M19" i="1"/>
  <c r="N19" i="1"/>
  <c r="O19" i="1"/>
  <c r="P19" i="1"/>
  <c r="Q19" i="1"/>
  <c r="R19" i="1"/>
  <c r="J20" i="1"/>
  <c r="K20" i="1"/>
  <c r="L20" i="1"/>
  <c r="M20" i="1"/>
  <c r="N20" i="1"/>
  <c r="O20" i="1"/>
  <c r="P20" i="1"/>
  <c r="Q20" i="1"/>
  <c r="R20" i="1"/>
  <c r="J21" i="1"/>
  <c r="K21" i="1"/>
  <c r="L21" i="1"/>
  <c r="M21" i="1"/>
  <c r="N21" i="1"/>
  <c r="O21" i="1"/>
  <c r="P21" i="1"/>
  <c r="Q21" i="1"/>
  <c r="R21" i="1"/>
  <c r="J22" i="1"/>
  <c r="K22" i="1"/>
  <c r="L22" i="1"/>
  <c r="M22" i="1"/>
  <c r="N22" i="1"/>
  <c r="O22" i="1"/>
  <c r="P22" i="1"/>
  <c r="Q22" i="1"/>
  <c r="R22" i="1"/>
  <c r="J23" i="1"/>
  <c r="K23" i="1"/>
  <c r="L23" i="1"/>
  <c r="M23" i="1"/>
  <c r="N23" i="1"/>
  <c r="O23" i="1"/>
  <c r="P23" i="1"/>
  <c r="Q23" i="1"/>
  <c r="R23" i="1"/>
  <c r="J24" i="1"/>
  <c r="K24" i="1"/>
  <c r="L24" i="1"/>
  <c r="M24" i="1"/>
  <c r="N24" i="1"/>
  <c r="O24" i="1"/>
  <c r="P24" i="1"/>
  <c r="Q24" i="1"/>
  <c r="R24" i="1"/>
  <c r="J25" i="1"/>
  <c r="K25" i="1"/>
  <c r="L25" i="1"/>
  <c r="M25" i="1"/>
  <c r="N25" i="1"/>
  <c r="O25" i="1"/>
  <c r="P25" i="1"/>
  <c r="Q25" i="1"/>
  <c r="R25" i="1"/>
  <c r="J26" i="1"/>
  <c r="K26" i="1"/>
  <c r="L26" i="1"/>
  <c r="M26" i="1"/>
  <c r="N26" i="1"/>
  <c r="O26" i="1"/>
  <c r="P26" i="1"/>
  <c r="Q26" i="1"/>
  <c r="R26" i="1"/>
  <c r="J27" i="1"/>
  <c r="K27" i="1"/>
  <c r="L27" i="1"/>
  <c r="M27" i="1"/>
  <c r="N27" i="1"/>
  <c r="O27" i="1"/>
  <c r="P27" i="1"/>
  <c r="Q27" i="1"/>
  <c r="R27" i="1"/>
  <c r="J28" i="1"/>
  <c r="K28" i="1"/>
  <c r="L28" i="1"/>
  <c r="M28" i="1"/>
  <c r="N28" i="1"/>
  <c r="O28" i="1"/>
  <c r="P28" i="1"/>
  <c r="Q28" i="1"/>
  <c r="R28" i="1"/>
  <c r="J29" i="1"/>
  <c r="K29" i="1"/>
  <c r="L29" i="1"/>
  <c r="M29" i="1"/>
  <c r="N29" i="1"/>
  <c r="O29" i="1"/>
  <c r="P29" i="1"/>
  <c r="Q29" i="1"/>
  <c r="R29" i="1"/>
  <c r="J30" i="1"/>
  <c r="K30" i="1"/>
  <c r="L30" i="1"/>
  <c r="M30" i="1"/>
  <c r="N30" i="1"/>
  <c r="O30" i="1"/>
  <c r="P30" i="1"/>
  <c r="Q30" i="1"/>
  <c r="R30" i="1"/>
  <c r="J31" i="1"/>
  <c r="K31" i="1"/>
  <c r="L31" i="1"/>
  <c r="M31" i="1"/>
  <c r="N31" i="1"/>
  <c r="O31" i="1"/>
  <c r="P31" i="1"/>
  <c r="Q31" i="1"/>
  <c r="R31" i="1"/>
  <c r="J32" i="1"/>
  <c r="K32" i="1"/>
  <c r="L32" i="1"/>
  <c r="M32" i="1"/>
  <c r="N32" i="1"/>
  <c r="O32" i="1"/>
  <c r="P32" i="1"/>
  <c r="Q32" i="1"/>
  <c r="R32" i="1"/>
  <c r="J33" i="1"/>
  <c r="K33" i="1"/>
  <c r="L33" i="1"/>
  <c r="M33" i="1"/>
  <c r="N33" i="1"/>
  <c r="O33" i="1"/>
  <c r="P33" i="1"/>
  <c r="Q33" i="1"/>
  <c r="R33" i="1"/>
  <c r="J34" i="1"/>
  <c r="K34" i="1"/>
  <c r="L34" i="1"/>
  <c r="M34" i="1"/>
  <c r="N34" i="1"/>
  <c r="O34" i="1"/>
  <c r="P34" i="1"/>
  <c r="Q34" i="1"/>
  <c r="R34" i="1"/>
  <c r="J35" i="1"/>
  <c r="K35" i="1"/>
  <c r="L35" i="1"/>
  <c r="M35" i="1"/>
  <c r="N35" i="1"/>
  <c r="O35" i="1"/>
  <c r="P35" i="1"/>
  <c r="Q35" i="1"/>
  <c r="R35" i="1"/>
  <c r="J36" i="1"/>
  <c r="K36" i="1"/>
  <c r="L36" i="1"/>
  <c r="M36" i="1"/>
  <c r="N36" i="1"/>
  <c r="O36" i="1"/>
  <c r="P36" i="1"/>
  <c r="Q36" i="1"/>
  <c r="R36" i="1"/>
  <c r="J37" i="1"/>
  <c r="K37" i="1"/>
  <c r="L37" i="1"/>
  <c r="M37" i="1"/>
  <c r="N37" i="1"/>
  <c r="O37" i="1"/>
  <c r="P37" i="1"/>
  <c r="Q37" i="1"/>
  <c r="R37" i="1"/>
  <c r="J38" i="1"/>
  <c r="K38" i="1"/>
  <c r="L38" i="1"/>
  <c r="M38" i="1"/>
  <c r="N38" i="1"/>
  <c r="O38" i="1"/>
  <c r="P38" i="1"/>
  <c r="Q38" i="1"/>
  <c r="R38" i="1"/>
  <c r="J39" i="1"/>
  <c r="K39" i="1"/>
  <c r="L39" i="1"/>
  <c r="M39" i="1"/>
  <c r="N39" i="1"/>
  <c r="O39" i="1"/>
  <c r="P39" i="1"/>
  <c r="Q39" i="1"/>
  <c r="R39" i="1"/>
  <c r="J40" i="1"/>
  <c r="K40" i="1"/>
  <c r="L40" i="1"/>
  <c r="M40" i="1"/>
  <c r="N40" i="1"/>
  <c r="O40" i="1"/>
  <c r="P40" i="1"/>
  <c r="Q40" i="1"/>
  <c r="R40" i="1"/>
  <c r="J41" i="1"/>
  <c r="K41" i="1"/>
  <c r="L41" i="1"/>
  <c r="M41" i="1"/>
  <c r="N41" i="1"/>
  <c r="O41" i="1"/>
  <c r="P41" i="1"/>
  <c r="Q41" i="1"/>
  <c r="R41" i="1"/>
  <c r="J42" i="1"/>
  <c r="K42" i="1"/>
  <c r="L42" i="1"/>
  <c r="M42" i="1"/>
  <c r="N42" i="1"/>
  <c r="O42" i="1"/>
  <c r="P42" i="1"/>
  <c r="Q42" i="1"/>
  <c r="R42" i="1"/>
  <c r="J43" i="1"/>
  <c r="K43" i="1"/>
  <c r="L43" i="1"/>
  <c r="M43" i="1"/>
  <c r="N43" i="1"/>
  <c r="O43" i="1"/>
  <c r="P43" i="1"/>
  <c r="Q43" i="1"/>
  <c r="R43" i="1"/>
  <c r="J44" i="1"/>
  <c r="K44" i="1"/>
  <c r="L44" i="1"/>
  <c r="M44" i="1"/>
  <c r="N44" i="1"/>
  <c r="O44" i="1"/>
  <c r="P44" i="1"/>
  <c r="Q44" i="1"/>
  <c r="R44" i="1"/>
  <c r="J45" i="1"/>
  <c r="K45" i="1"/>
  <c r="L45" i="1"/>
  <c r="M45" i="1"/>
  <c r="N45" i="1"/>
  <c r="O45" i="1"/>
  <c r="P45" i="1"/>
  <c r="Q45" i="1"/>
  <c r="R45" i="1"/>
  <c r="J46" i="1"/>
  <c r="K46" i="1"/>
  <c r="L46" i="1"/>
  <c r="M46" i="1"/>
  <c r="N46" i="1"/>
  <c r="O46" i="1"/>
  <c r="P46" i="1"/>
  <c r="Q46" i="1"/>
  <c r="R46" i="1"/>
  <c r="J47" i="1"/>
  <c r="K47" i="1"/>
  <c r="L47" i="1"/>
  <c r="M47" i="1"/>
  <c r="N47" i="1"/>
  <c r="O47" i="1"/>
  <c r="P47" i="1"/>
  <c r="Q47" i="1"/>
  <c r="R47" i="1"/>
  <c r="J48" i="1"/>
  <c r="K48" i="1"/>
  <c r="L48" i="1"/>
  <c r="M48" i="1"/>
  <c r="N48" i="1"/>
  <c r="O48" i="1"/>
  <c r="P48" i="1"/>
  <c r="Q48" i="1"/>
  <c r="R48" i="1"/>
  <c r="J49" i="1"/>
  <c r="K49" i="1"/>
  <c r="L49" i="1"/>
  <c r="M49" i="1"/>
  <c r="N49" i="1"/>
  <c r="O49" i="1"/>
  <c r="P49" i="1"/>
  <c r="Q49" i="1"/>
  <c r="R49" i="1"/>
  <c r="J50" i="1"/>
  <c r="K50" i="1"/>
  <c r="L50" i="1"/>
  <c r="M50" i="1"/>
  <c r="N50" i="1"/>
  <c r="O50" i="1"/>
  <c r="P50" i="1"/>
  <c r="Q50" i="1"/>
  <c r="R50" i="1"/>
  <c r="J51" i="1"/>
  <c r="K51" i="1"/>
  <c r="L51" i="1"/>
  <c r="M51" i="1"/>
  <c r="N51" i="1"/>
  <c r="O51" i="1"/>
  <c r="P51" i="1"/>
  <c r="Q51" i="1"/>
  <c r="R51" i="1"/>
  <c r="J52" i="1"/>
  <c r="K52" i="1"/>
  <c r="L52" i="1"/>
  <c r="M52" i="1"/>
  <c r="N52" i="1"/>
  <c r="O52" i="1"/>
  <c r="P52" i="1"/>
  <c r="Q52" i="1"/>
  <c r="R52" i="1"/>
  <c r="J53" i="1"/>
  <c r="K53" i="1"/>
  <c r="L53" i="1"/>
  <c r="M53" i="1"/>
  <c r="N53" i="1"/>
  <c r="O53" i="1"/>
  <c r="P53" i="1"/>
  <c r="Q53" i="1"/>
  <c r="R53" i="1"/>
  <c r="J54" i="1"/>
  <c r="K54" i="1"/>
  <c r="L54" i="1"/>
  <c r="M54" i="1"/>
  <c r="N54" i="1"/>
  <c r="O54" i="1"/>
  <c r="P54" i="1"/>
  <c r="Q54" i="1"/>
  <c r="R54" i="1"/>
  <c r="J55" i="1"/>
  <c r="K55" i="1"/>
  <c r="L55" i="1"/>
  <c r="M55" i="1"/>
  <c r="N55" i="1"/>
  <c r="O55" i="1"/>
  <c r="P55" i="1"/>
  <c r="Q55" i="1"/>
  <c r="R55" i="1"/>
  <c r="J56" i="1"/>
  <c r="K56" i="1"/>
  <c r="L56" i="1"/>
  <c r="M56" i="1"/>
  <c r="N56" i="1"/>
  <c r="O56" i="1"/>
  <c r="P56" i="1"/>
  <c r="Q56" i="1"/>
  <c r="R56" i="1"/>
  <c r="J57" i="1"/>
  <c r="K57" i="1"/>
  <c r="L57" i="1"/>
  <c r="M57" i="1"/>
  <c r="N57" i="1"/>
  <c r="O57" i="1"/>
  <c r="P57" i="1"/>
  <c r="Q57" i="1"/>
  <c r="R57" i="1"/>
  <c r="J58" i="1"/>
  <c r="K58" i="1"/>
  <c r="L58" i="1"/>
  <c r="M58" i="1"/>
  <c r="N58" i="1"/>
  <c r="O58" i="1"/>
  <c r="P58" i="1"/>
  <c r="Q58" i="1"/>
  <c r="R58" i="1"/>
  <c r="J59" i="1"/>
  <c r="K59" i="1"/>
  <c r="L59" i="1"/>
  <c r="M59" i="1"/>
  <c r="N59" i="1"/>
  <c r="O59" i="1"/>
  <c r="P59" i="1"/>
  <c r="Q59" i="1"/>
  <c r="R59" i="1"/>
  <c r="J60" i="1"/>
  <c r="K60" i="1"/>
  <c r="L60" i="1"/>
  <c r="M60" i="1"/>
  <c r="N60" i="1"/>
  <c r="O60" i="1"/>
  <c r="P60" i="1"/>
  <c r="Q60" i="1"/>
  <c r="R60" i="1"/>
  <c r="J61" i="1"/>
  <c r="K61" i="1"/>
  <c r="L61" i="1"/>
  <c r="M61" i="1"/>
  <c r="N61" i="1"/>
  <c r="O61" i="1"/>
  <c r="P61" i="1"/>
  <c r="Q61" i="1"/>
  <c r="R61" i="1"/>
  <c r="J62" i="1"/>
  <c r="K62" i="1"/>
  <c r="L62" i="1"/>
  <c r="M62" i="1"/>
  <c r="N62" i="1"/>
  <c r="O62" i="1"/>
  <c r="P62" i="1"/>
  <c r="Q62" i="1"/>
  <c r="R62" i="1"/>
  <c r="J63" i="1"/>
  <c r="K63" i="1"/>
  <c r="L63" i="1"/>
  <c r="M63" i="1"/>
  <c r="N63" i="1"/>
  <c r="O63" i="1"/>
  <c r="P63" i="1"/>
  <c r="Q63" i="1"/>
  <c r="R63" i="1"/>
  <c r="J64" i="1"/>
  <c r="K64" i="1"/>
  <c r="L64" i="1"/>
  <c r="M64" i="1"/>
  <c r="N64" i="1"/>
  <c r="O64" i="1"/>
  <c r="P64" i="1"/>
  <c r="Q64" i="1"/>
  <c r="R64" i="1"/>
  <c r="J65" i="1"/>
  <c r="K65" i="1"/>
  <c r="L65" i="1"/>
  <c r="M65" i="1"/>
  <c r="N65" i="1"/>
  <c r="O65" i="1"/>
  <c r="P65" i="1"/>
  <c r="Q65" i="1"/>
  <c r="R65" i="1"/>
  <c r="J66" i="1"/>
  <c r="K66" i="1"/>
  <c r="L66" i="1"/>
  <c r="M66" i="1"/>
  <c r="N66" i="1"/>
  <c r="O66" i="1"/>
  <c r="P66" i="1"/>
  <c r="Q66" i="1"/>
  <c r="R66" i="1"/>
  <c r="J67" i="1"/>
  <c r="K67" i="1"/>
  <c r="L67" i="1"/>
  <c r="M67" i="1"/>
  <c r="N67" i="1"/>
  <c r="O67" i="1"/>
  <c r="P67" i="1"/>
  <c r="Q67" i="1"/>
  <c r="R67" i="1"/>
  <c r="J68" i="1"/>
  <c r="K68" i="1"/>
  <c r="L68" i="1"/>
  <c r="M68" i="1"/>
  <c r="N68" i="1"/>
  <c r="O68" i="1"/>
  <c r="P68" i="1"/>
  <c r="Q68" i="1"/>
  <c r="R68" i="1"/>
  <c r="J69" i="1"/>
  <c r="K69" i="1"/>
  <c r="L69" i="1"/>
  <c r="M69" i="1"/>
  <c r="N69" i="1"/>
  <c r="O69" i="1"/>
  <c r="P69" i="1"/>
  <c r="Q69" i="1"/>
  <c r="R69" i="1"/>
  <c r="J70" i="1"/>
  <c r="K70" i="1"/>
  <c r="L70" i="1"/>
  <c r="M70" i="1"/>
  <c r="N70" i="1"/>
  <c r="O70" i="1"/>
  <c r="P70" i="1"/>
  <c r="Q70" i="1"/>
  <c r="R70" i="1"/>
  <c r="J71" i="1"/>
  <c r="K71" i="1"/>
  <c r="L71" i="1"/>
  <c r="M71" i="1"/>
  <c r="N71" i="1"/>
  <c r="O71" i="1"/>
  <c r="P71" i="1"/>
  <c r="Q71" i="1"/>
  <c r="R71" i="1"/>
  <c r="J72" i="1"/>
  <c r="K72" i="1"/>
  <c r="L72" i="1"/>
  <c r="M72" i="1"/>
  <c r="N72" i="1"/>
  <c r="O72" i="1"/>
  <c r="P72" i="1"/>
  <c r="Q72" i="1"/>
  <c r="R72" i="1"/>
  <c r="J73" i="1"/>
  <c r="K73" i="1"/>
  <c r="L73" i="1"/>
  <c r="M73" i="1"/>
  <c r="N73" i="1"/>
  <c r="O73" i="1"/>
  <c r="P73" i="1"/>
  <c r="Q73" i="1"/>
  <c r="R73" i="1"/>
  <c r="J74" i="1"/>
  <c r="K74" i="1"/>
  <c r="L74" i="1"/>
  <c r="M74" i="1"/>
  <c r="N74" i="1"/>
  <c r="O74" i="1"/>
  <c r="P74" i="1"/>
  <c r="Q74" i="1"/>
  <c r="R74" i="1"/>
  <c r="J75" i="1"/>
  <c r="K75" i="1"/>
  <c r="L75" i="1"/>
  <c r="M75" i="1"/>
  <c r="N75" i="1"/>
  <c r="O75" i="1"/>
  <c r="P75" i="1"/>
  <c r="Q75" i="1"/>
  <c r="R75" i="1"/>
  <c r="J76" i="1"/>
  <c r="K76" i="1"/>
  <c r="L76" i="1"/>
  <c r="M76" i="1"/>
  <c r="N76" i="1"/>
  <c r="O76" i="1"/>
  <c r="P76" i="1"/>
  <c r="Q76" i="1"/>
  <c r="R76" i="1"/>
  <c r="J77" i="1"/>
  <c r="K77" i="1"/>
  <c r="L77" i="1"/>
  <c r="M77" i="1"/>
  <c r="N77" i="1"/>
  <c r="O77" i="1"/>
  <c r="P77" i="1"/>
  <c r="Q77" i="1"/>
  <c r="R77" i="1"/>
  <c r="O1" i="1"/>
  <c r="P1" i="1"/>
  <c r="Q1" i="1"/>
  <c r="R1" i="1"/>
  <c r="J1" i="1"/>
  <c r="K1" i="1"/>
  <c r="L1" i="1"/>
  <c r="M1" i="1"/>
  <c r="N1" i="1"/>
  <c r="I1" i="1"/>
  <c r="H1" i="1"/>
  <c r="G1" i="1"/>
  <c r="F1" i="1"/>
  <c r="E1" i="1"/>
  <c r="D1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H2" i="1"/>
  <c r="I2" i="1"/>
  <c r="G2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D67" i="1"/>
  <c r="E67" i="1"/>
  <c r="F67" i="1"/>
  <c r="D68" i="1"/>
  <c r="E68" i="1"/>
  <c r="F68" i="1"/>
  <c r="D69" i="1"/>
  <c r="E69" i="1"/>
  <c r="F69" i="1"/>
  <c r="D70" i="1"/>
  <c r="E70" i="1"/>
  <c r="F70" i="1"/>
  <c r="D71" i="1"/>
  <c r="E71" i="1"/>
  <c r="F71" i="1"/>
  <c r="D72" i="1"/>
  <c r="E72" i="1"/>
  <c r="F72" i="1"/>
  <c r="D73" i="1"/>
  <c r="E73" i="1"/>
  <c r="F73" i="1"/>
  <c r="D74" i="1"/>
  <c r="E74" i="1"/>
  <c r="F74" i="1"/>
  <c r="D75" i="1"/>
  <c r="E75" i="1"/>
  <c r="F75" i="1"/>
  <c r="D76" i="1"/>
  <c r="E76" i="1"/>
  <c r="F76" i="1"/>
  <c r="D77" i="1"/>
  <c r="E77" i="1"/>
  <c r="F77" i="1"/>
  <c r="F2" i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1" i="1"/>
  <c r="B1" i="1"/>
  <c r="B71" i="1"/>
  <c r="B72" i="1"/>
  <c r="B73" i="1"/>
  <c r="B74" i="1"/>
  <c r="B75" i="1"/>
  <c r="B76" i="1"/>
  <c r="B77" i="1"/>
  <c r="B64" i="1"/>
  <c r="B65" i="1"/>
  <c r="B66" i="1"/>
  <c r="B67" i="1"/>
  <c r="B68" i="1"/>
  <c r="B69" i="1"/>
  <c r="B70" i="1"/>
  <c r="B57" i="1"/>
  <c r="B58" i="1"/>
  <c r="B59" i="1"/>
  <c r="B60" i="1"/>
  <c r="B61" i="1"/>
  <c r="B62" i="1"/>
  <c r="B63" i="1"/>
  <c r="B52" i="1"/>
  <c r="B53" i="1"/>
  <c r="B54" i="1"/>
  <c r="B55" i="1"/>
  <c r="B56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</calcChain>
</file>

<file path=xl/sharedStrings.xml><?xml version="1.0" encoding="utf-8"?>
<sst xmlns="http://schemas.openxmlformats.org/spreadsheetml/2006/main" count="77" uniqueCount="3">
  <si>
    <t>Fluido</t>
  </si>
  <si>
    <t>AGUA</t>
  </si>
  <si>
    <t>CLOACA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</si>
</sst>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rrador%20con%20IA2020%20-%20Tablero%202.%20Cobertura%20Estimada%202019-2021%20al%2029-03-21%20-%20con%20Tot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blación y Cobertura"/>
    </sheetNames>
    <sheetDataSet>
      <sheetData sheetId="0">
        <row r="7">
          <cell r="B7" t="str">
            <v>Municipio</v>
          </cell>
          <cell r="D7" t="str">
            <v>Población Censo 2010</v>
          </cell>
          <cell r="F7" t="str">
            <v>Población Total 2019 (CV)</v>
          </cell>
          <cell r="G7" t="str">
            <v>Población con Servicio 2019 (CV)</v>
          </cell>
          <cell r="H7" t="str">
            <v>Cobertura 2019</v>
          </cell>
          <cell r="J7" t="str">
            <v>Población Total 2020 (CV)</v>
          </cell>
          <cell r="K7" t="str">
            <v>Población con Servicio 2020 (CV)</v>
          </cell>
          <cell r="L7" t="str">
            <v>Cobertura 2020</v>
          </cell>
          <cell r="R7" t="str">
            <v>Población Total 2021 (CV)</v>
          </cell>
          <cell r="S7" t="str">
            <v>Población con Servicio 2021 (CV)</v>
          </cell>
          <cell r="T7" t="str">
            <v>Población Obras Puestas en Servicio 2021</v>
          </cell>
          <cell r="U7" t="str">
            <v>Población con Servicio (CV) + Obras 2021</v>
          </cell>
          <cell r="V7" t="str">
            <v>Cobertura 2021</v>
          </cell>
          <cell r="X7" t="str">
            <v>Población a incorporar Plan de Obras</v>
          </cell>
          <cell r="Y7" t="str">
            <v>Población con Servicio Plan de Obras</v>
          </cell>
          <cell r="Z7" t="str">
            <v>Cobertura Plan de Obras</v>
          </cell>
          <cell r="AA7" t="str">
            <v>Inversión $ Millones</v>
          </cell>
        </row>
        <row r="8">
          <cell r="B8" t="str">
            <v>Capital Federal</v>
          </cell>
          <cell r="D8">
            <v>3028481</v>
          </cell>
          <cell r="F8">
            <v>3072029.0000000023</v>
          </cell>
          <cell r="G8">
            <v>3072029.0000000023</v>
          </cell>
          <cell r="H8">
            <v>1</v>
          </cell>
          <cell r="J8">
            <v>3075645.9999999902</v>
          </cell>
          <cell r="K8">
            <v>3075645.9999999902</v>
          </cell>
          <cell r="L8">
            <v>1</v>
          </cell>
          <cell r="R8">
            <v>3078835.9987737066</v>
          </cell>
          <cell r="S8">
            <v>3078835.9987736968</v>
          </cell>
          <cell r="T8">
            <v>2770</v>
          </cell>
          <cell r="U8">
            <v>3081605.9987736968</v>
          </cell>
          <cell r="V8">
            <v>1</v>
          </cell>
          <cell r="X8">
            <v>121337</v>
          </cell>
          <cell r="Y8">
            <v>3202942.9987736968</v>
          </cell>
          <cell r="Z8">
            <v>1</v>
          </cell>
          <cell r="AA8">
            <v>716.72203125999999</v>
          </cell>
        </row>
        <row r="9">
          <cell r="B9" t="str">
            <v>San Fernando</v>
          </cell>
          <cell r="D9">
            <v>164452</v>
          </cell>
          <cell r="F9">
            <v>173904.00000000076</v>
          </cell>
          <cell r="G9">
            <v>164439.59214846959</v>
          </cell>
          <cell r="H9">
            <v>0.94557682484858818</v>
          </cell>
          <cell r="J9">
            <v>174883</v>
          </cell>
          <cell r="K9">
            <v>165365.311859996</v>
          </cell>
          <cell r="L9">
            <v>0.94557682484859018</v>
          </cell>
          <cell r="R9">
            <v>175845.00005144798</v>
          </cell>
          <cell r="S9">
            <v>166274.95681414835</v>
          </cell>
          <cell r="T9">
            <v>0</v>
          </cell>
          <cell r="U9">
            <v>166274.95681414835</v>
          </cell>
          <cell r="V9">
            <v>0.94557682484859018</v>
          </cell>
          <cell r="X9">
            <v>0</v>
          </cell>
          <cell r="Y9">
            <v>166274.95681414835</v>
          </cell>
          <cell r="Z9">
            <v>0.94557682484859018</v>
          </cell>
          <cell r="AA9">
            <v>0</v>
          </cell>
        </row>
        <row r="10">
          <cell r="B10" t="str">
            <v>Tigre</v>
          </cell>
          <cell r="D10">
            <v>376515</v>
          </cell>
          <cell r="F10">
            <v>455056.0000000014</v>
          </cell>
          <cell r="G10">
            <v>270879.87493725435</v>
          </cell>
          <cell r="H10">
            <v>0.59526712083183941</v>
          </cell>
          <cell r="J10">
            <v>462998</v>
          </cell>
          <cell r="K10">
            <v>282210.93981913099</v>
          </cell>
          <cell r="L10">
            <v>0.6095295008167011</v>
          </cell>
          <cell r="R10">
            <v>470776.00014072005</v>
          </cell>
          <cell r="S10">
            <v>286951.8603622563</v>
          </cell>
          <cell r="T10">
            <v>15583</v>
          </cell>
          <cell r="U10">
            <v>302534.8603622563</v>
          </cell>
          <cell r="V10">
            <v>0.64263016864034139</v>
          </cell>
          <cell r="X10">
            <v>81517</v>
          </cell>
          <cell r="Y10">
            <v>384051.8603622563</v>
          </cell>
          <cell r="Z10">
            <v>0.8157847049285839</v>
          </cell>
          <cell r="AA10">
            <v>2644.1111885282153</v>
          </cell>
        </row>
        <row r="11">
          <cell r="B11" t="str">
            <v>San Isidro</v>
          </cell>
          <cell r="D11">
            <v>295894</v>
          </cell>
          <cell r="F11">
            <v>292519.99999999994</v>
          </cell>
          <cell r="G11">
            <v>284430.30855644244</v>
          </cell>
          <cell r="H11">
            <v>0.97234482618775642</v>
          </cell>
          <cell r="J11">
            <v>292224</v>
          </cell>
          <cell r="K11">
            <v>284142.49448789097</v>
          </cell>
          <cell r="L11">
            <v>0.97234482618775653</v>
          </cell>
          <cell r="R11">
            <v>291962.99997927801</v>
          </cell>
          <cell r="S11">
            <v>283888.71246810706</v>
          </cell>
          <cell r="T11">
            <v>0</v>
          </cell>
          <cell r="U11">
            <v>283888.71246810706</v>
          </cell>
          <cell r="V11">
            <v>0.97234482618775653</v>
          </cell>
          <cell r="X11">
            <v>0</v>
          </cell>
          <cell r="Y11">
            <v>283888.71246810706</v>
          </cell>
          <cell r="Z11">
            <v>0.97234482618775653</v>
          </cell>
          <cell r="AA11">
            <v>0</v>
          </cell>
        </row>
        <row r="12">
          <cell r="B12" t="str">
            <v>San Martín</v>
          </cell>
          <cell r="D12">
            <v>418017</v>
          </cell>
          <cell r="F12">
            <v>424566.99999999802</v>
          </cell>
          <cell r="G12">
            <v>385995.94573187031</v>
          </cell>
          <cell r="H12">
            <v>0.90915202013315233</v>
          </cell>
          <cell r="J12">
            <v>425264.99999999802</v>
          </cell>
          <cell r="K12">
            <v>393878.05693308997</v>
          </cell>
          <cell r="L12">
            <v>0.92619438922340613</v>
          </cell>
          <cell r="R12">
            <v>425910.99981678301</v>
          </cell>
          <cell r="S12">
            <v>394476.37833883375</v>
          </cell>
          <cell r="T12">
            <v>2700</v>
          </cell>
          <cell r="U12">
            <v>397176.37833883375</v>
          </cell>
          <cell r="V12">
            <v>0.93253374181387605</v>
          </cell>
          <cell r="X12">
            <v>12168</v>
          </cell>
          <cell r="Y12">
            <v>409344.37833883375</v>
          </cell>
          <cell r="Z12">
            <v>0.96110309082161338</v>
          </cell>
          <cell r="AA12">
            <v>189.19042586739999</v>
          </cell>
        </row>
        <row r="13">
          <cell r="B13" t="str">
            <v>Vicente López</v>
          </cell>
          <cell r="D13">
            <v>272389</v>
          </cell>
          <cell r="F13">
            <v>268064.00000000006</v>
          </cell>
          <cell r="G13">
            <v>266643.91199350933</v>
          </cell>
          <cell r="H13">
            <v>0.99470242924640861</v>
          </cell>
          <cell r="J13">
            <v>267655</v>
          </cell>
          <cell r="K13">
            <v>266237.07869994798</v>
          </cell>
          <cell r="L13">
            <v>0.99470242924641039</v>
          </cell>
          <cell r="R13">
            <v>267257.000022922</v>
          </cell>
          <cell r="S13">
            <v>265841.18715590844</v>
          </cell>
          <cell r="T13">
            <v>0</v>
          </cell>
          <cell r="U13">
            <v>265841.18715590844</v>
          </cell>
          <cell r="V13">
            <v>0.99470242924641028</v>
          </cell>
          <cell r="X13">
            <v>0</v>
          </cell>
          <cell r="Y13">
            <v>265841.18715590844</v>
          </cell>
          <cell r="Z13">
            <v>0.99470242924641028</v>
          </cell>
          <cell r="AA13">
            <v>0</v>
          </cell>
        </row>
        <row r="14">
          <cell r="B14" t="str">
            <v>Región Norte</v>
          </cell>
          <cell r="D14">
            <v>1527267</v>
          </cell>
          <cell r="F14">
            <v>1614111</v>
          </cell>
          <cell r="G14">
            <v>1372389.6333675461</v>
          </cell>
          <cell r="H14">
            <v>0.85024489230762079</v>
          </cell>
          <cell r="J14">
            <v>1623025</v>
          </cell>
          <cell r="K14">
            <v>1391833.8818000499</v>
          </cell>
          <cell r="L14">
            <v>0.85755541769230292</v>
          </cell>
          <cell r="R14">
            <v>1631752.000011151</v>
          </cell>
          <cell r="S14">
            <v>1397433.0951392539</v>
          </cell>
          <cell r="T14">
            <v>18283</v>
          </cell>
          <cell r="U14">
            <v>1415716.0951392539</v>
          </cell>
          <cell r="V14">
            <v>0.86760493943294037</v>
          </cell>
          <cell r="X14">
            <v>93685</v>
          </cell>
          <cell r="Y14">
            <v>1509401.0951392539</v>
          </cell>
          <cell r="Z14">
            <v>0.9250186885807028</v>
          </cell>
          <cell r="AA14">
            <v>2833.3016143956152</v>
          </cell>
        </row>
        <row r="15">
          <cell r="B15" t="str">
            <v>La Matanza</v>
          </cell>
          <cell r="D15">
            <v>1777530</v>
          </cell>
          <cell r="F15">
            <v>2233860.0000000037</v>
          </cell>
          <cell r="G15">
            <v>1988093.0484886363</v>
          </cell>
          <cell r="H15">
            <v>0.88998104110760434</v>
          </cell>
          <cell r="J15">
            <v>2281194</v>
          </cell>
          <cell r="K15">
            <v>2030659.6003071701</v>
          </cell>
          <cell r="L15">
            <v>0.89017400550201786</v>
          </cell>
          <cell r="R15">
            <v>2327873.9997795601</v>
          </cell>
          <cell r="S15">
            <v>2072212.9226877743</v>
          </cell>
          <cell r="T15">
            <v>24959</v>
          </cell>
          <cell r="U15">
            <v>2097171.9226877745</v>
          </cell>
          <cell r="V15">
            <v>0.9008958057379256</v>
          </cell>
          <cell r="X15">
            <v>14036</v>
          </cell>
          <cell r="Y15">
            <v>2111207.9226877745</v>
          </cell>
          <cell r="Z15">
            <v>0.90692534170135364</v>
          </cell>
          <cell r="AA15">
            <v>56.597073450000003</v>
          </cell>
        </row>
        <row r="16">
          <cell r="B16" t="str">
            <v>Hurlingham</v>
          </cell>
          <cell r="D16">
            <v>182604</v>
          </cell>
          <cell r="F16">
            <v>192553.99999999927</v>
          </cell>
          <cell r="G16">
            <v>59593.419399355764</v>
          </cell>
          <cell r="H16">
            <v>0.30948938686994809</v>
          </cell>
          <cell r="J16">
            <v>193583</v>
          </cell>
          <cell r="K16">
            <v>62915.2170872489</v>
          </cell>
          <cell r="L16">
            <v>0.32500383343190725</v>
          </cell>
          <cell r="R16">
            <v>194596.99995716399</v>
          </cell>
          <cell r="S16">
            <v>63244.770960426998</v>
          </cell>
          <cell r="T16">
            <v>0</v>
          </cell>
          <cell r="U16">
            <v>63244.770960426998</v>
          </cell>
          <cell r="V16">
            <v>0.32500383343190731</v>
          </cell>
          <cell r="X16">
            <v>19862</v>
          </cell>
          <cell r="Y16">
            <v>83106.770960427006</v>
          </cell>
          <cell r="Z16">
            <v>0.42707118289963891</v>
          </cell>
          <cell r="AA16">
            <v>238.90705322409386</v>
          </cell>
        </row>
        <row r="17">
          <cell r="B17" t="str">
            <v>Ituzaingó</v>
          </cell>
          <cell r="D17">
            <v>169038</v>
          </cell>
          <cell r="F17">
            <v>179801</v>
          </cell>
          <cell r="G17">
            <v>16994.288722062494</v>
          </cell>
          <cell r="H17">
            <v>9.4517209148238857E-2</v>
          </cell>
          <cell r="J17">
            <v>180914</v>
          </cell>
          <cell r="K17">
            <v>17099.486375844499</v>
          </cell>
          <cell r="L17">
            <v>9.451720914823894E-2</v>
          </cell>
          <cell r="R17">
            <v>182010.999983166</v>
          </cell>
          <cell r="S17">
            <v>17203.171752689017</v>
          </cell>
          <cell r="T17">
            <v>31627</v>
          </cell>
          <cell r="U17">
            <v>48830.171752689013</v>
          </cell>
          <cell r="V17">
            <v>0.26828143220577472</v>
          </cell>
          <cell r="X17">
            <v>30138</v>
          </cell>
          <cell r="Y17">
            <v>78968.171752689013</v>
          </cell>
          <cell r="Z17">
            <v>0.43386483102665607</v>
          </cell>
          <cell r="AA17">
            <v>338.98363597519995</v>
          </cell>
        </row>
        <row r="18">
          <cell r="B18" t="str">
            <v>Morón</v>
          </cell>
          <cell r="D18">
            <v>324279</v>
          </cell>
          <cell r="F18">
            <v>319138.00000000006</v>
          </cell>
          <cell r="G18">
            <v>284429.12590084469</v>
          </cell>
          <cell r="H18">
            <v>0.89124180104169559</v>
          </cell>
          <cell r="J18">
            <v>318632</v>
          </cell>
          <cell r="K18">
            <v>283978.15754951799</v>
          </cell>
          <cell r="L18">
            <v>0.89124180104169692</v>
          </cell>
          <cell r="R18">
            <v>318104.00015792402</v>
          </cell>
          <cell r="S18">
            <v>283507.58201931644</v>
          </cell>
          <cell r="T18">
            <v>12500</v>
          </cell>
          <cell r="U18">
            <v>296007.58201931644</v>
          </cell>
          <cell r="V18">
            <v>0.93053712582162529</v>
          </cell>
          <cell r="X18">
            <v>3281</v>
          </cell>
          <cell r="Y18">
            <v>299288.58201931644</v>
          </cell>
          <cell r="Z18">
            <v>0.9408513626698608</v>
          </cell>
          <cell r="AA18">
            <v>44.244821549999998</v>
          </cell>
        </row>
        <row r="19">
          <cell r="B19" t="str">
            <v>Tres de Febrero</v>
          </cell>
          <cell r="D19">
            <v>343338</v>
          </cell>
          <cell r="F19">
            <v>344010.99999999884</v>
          </cell>
          <cell r="G19">
            <v>311283.97504791094</v>
          </cell>
          <cell r="H19">
            <v>0.90486634162254109</v>
          </cell>
          <cell r="J19">
            <v>344066.99999999802</v>
          </cell>
          <cell r="K19">
            <v>315919.36153294903</v>
          </cell>
          <cell r="L19">
            <v>0.9181914032236479</v>
          </cell>
          <cell r="R19">
            <v>344116.99993153801</v>
          </cell>
          <cell r="S19">
            <v>315965.27104024898</v>
          </cell>
          <cell r="T19">
            <v>0</v>
          </cell>
          <cell r="U19">
            <v>315965.27104024898</v>
          </cell>
          <cell r="V19">
            <v>0.91819140322364245</v>
          </cell>
          <cell r="X19">
            <v>3884</v>
          </cell>
          <cell r="Y19">
            <v>319849.27104024898</v>
          </cell>
          <cell r="Z19">
            <v>0.92947826205587902</v>
          </cell>
          <cell r="AA19">
            <v>10.390196060000001</v>
          </cell>
        </row>
        <row r="20">
          <cell r="B20" t="str">
            <v>Región Oeste</v>
          </cell>
          <cell r="D20">
            <v>2796789</v>
          </cell>
          <cell r="F20">
            <v>3269364.0000000019</v>
          </cell>
          <cell r="G20">
            <v>2660393.8575588102</v>
          </cell>
          <cell r="H20">
            <v>0.81373437083139366</v>
          </cell>
          <cell r="J20">
            <v>3318390</v>
          </cell>
          <cell r="K20">
            <v>2710571.8228527298</v>
          </cell>
          <cell r="L20">
            <v>0.81683341103750007</v>
          </cell>
          <cell r="R20">
            <v>3366702.9998093517</v>
          </cell>
          <cell r="S20">
            <v>2752133.718460456</v>
          </cell>
          <cell r="T20">
            <v>69086</v>
          </cell>
          <cell r="U20">
            <v>2821219.718460456</v>
          </cell>
          <cell r="V20">
            <v>0.83797701152142468</v>
          </cell>
          <cell r="X20">
            <v>71201</v>
          </cell>
          <cell r="Y20">
            <v>2892420.718460456</v>
          </cell>
          <cell r="Z20">
            <v>0.85912559516662057</v>
          </cell>
          <cell r="AA20">
            <v>689.12278025929379</v>
          </cell>
        </row>
        <row r="21">
          <cell r="B21" t="str">
            <v>Avellaneda</v>
          </cell>
          <cell r="D21">
            <v>345752</v>
          </cell>
          <cell r="F21">
            <v>355352.00000000064</v>
          </cell>
          <cell r="G21">
            <v>336317.78171637532</v>
          </cell>
          <cell r="H21">
            <v>0.94643559545570233</v>
          </cell>
          <cell r="J21">
            <v>356392</v>
          </cell>
          <cell r="K21">
            <v>337302.07473564899</v>
          </cell>
          <cell r="L21">
            <v>0.94643559545570322</v>
          </cell>
          <cell r="R21">
            <v>357440.00010690396</v>
          </cell>
          <cell r="S21">
            <v>338293.93934086425</v>
          </cell>
          <cell r="T21">
            <v>0</v>
          </cell>
          <cell r="U21">
            <v>338293.93934086425</v>
          </cell>
          <cell r="V21">
            <v>0.94643559545570322</v>
          </cell>
          <cell r="X21">
            <v>4936</v>
          </cell>
          <cell r="Y21">
            <v>343229.93934086425</v>
          </cell>
          <cell r="Z21">
            <v>0.96024490610510926</v>
          </cell>
          <cell r="AA21">
            <v>41.091685299999995</v>
          </cell>
        </row>
        <row r="22">
          <cell r="B22" t="str">
            <v>Lanús</v>
          </cell>
          <cell r="D22">
            <v>463555</v>
          </cell>
          <cell r="F22">
            <v>462895.00000000012</v>
          </cell>
          <cell r="G22">
            <v>457041.34619408712</v>
          </cell>
          <cell r="H22">
            <v>0.98735425138333099</v>
          </cell>
          <cell r="J22">
            <v>462827</v>
          </cell>
          <cell r="K22">
            <v>456974.20610499301</v>
          </cell>
          <cell r="L22">
            <v>0.98735425138333111</v>
          </cell>
          <cell r="R22">
            <v>462759.99993011495</v>
          </cell>
          <cell r="S22">
            <v>456908.05330114911</v>
          </cell>
          <cell r="T22">
            <v>0</v>
          </cell>
          <cell r="U22">
            <v>456908.05330114911</v>
          </cell>
          <cell r="V22">
            <v>0.98735425138333133</v>
          </cell>
          <cell r="X22">
            <v>2295</v>
          </cell>
          <cell r="Y22">
            <v>459203.05330114911</v>
          </cell>
          <cell r="Z22">
            <v>0.99231362557372504</v>
          </cell>
          <cell r="AA22">
            <v>8.9931013250496452</v>
          </cell>
        </row>
        <row r="23">
          <cell r="B23" t="str">
            <v>Quilmes</v>
          </cell>
          <cell r="D23">
            <v>586462</v>
          </cell>
          <cell r="F23">
            <v>657123.00000000221</v>
          </cell>
          <cell r="G23">
            <v>583752.39600008389</v>
          </cell>
          <cell r="H23">
            <v>0.88834570696822657</v>
          </cell>
          <cell r="J23">
            <v>664783</v>
          </cell>
          <cell r="K23">
            <v>590557.12411545904</v>
          </cell>
          <cell r="L23">
            <v>0.88834570696822723</v>
          </cell>
          <cell r="R23">
            <v>672198.99984012998</v>
          </cell>
          <cell r="S23">
            <v>597145.09573631559</v>
          </cell>
          <cell r="T23">
            <v>27772</v>
          </cell>
          <cell r="U23">
            <v>624917.09573631559</v>
          </cell>
          <cell r="V23">
            <v>0.9296608532368249</v>
          </cell>
          <cell r="X23">
            <v>5532</v>
          </cell>
          <cell r="Y23">
            <v>630449.09573631559</v>
          </cell>
          <cell r="Z23">
            <v>0.93789055902531271</v>
          </cell>
          <cell r="AA23">
            <v>39.919524389999999</v>
          </cell>
        </row>
        <row r="24">
          <cell r="B24" t="str">
            <v>Región Sudeste</v>
          </cell>
          <cell r="D24">
            <v>1395769</v>
          </cell>
          <cell r="F24">
            <v>1475370.0000000028</v>
          </cell>
          <cell r="G24">
            <v>1377111.5239105462</v>
          </cell>
          <cell r="H24">
            <v>0.9334007902495941</v>
          </cell>
          <cell r="J24">
            <v>1484002</v>
          </cell>
          <cell r="K24">
            <v>1384833.4049561</v>
          </cell>
          <cell r="L24">
            <v>0.93317489124414932</v>
          </cell>
          <cell r="R24">
            <v>1492398.9998771488</v>
          </cell>
          <cell r="S24">
            <v>1392347.0883783288</v>
          </cell>
          <cell r="T24">
            <v>27772</v>
          </cell>
          <cell r="U24">
            <v>1420119.0883783288</v>
          </cell>
          <cell r="V24">
            <v>0.95156797109568558</v>
          </cell>
          <cell r="X24">
            <v>12763</v>
          </cell>
          <cell r="Y24">
            <v>1432882.0883783288</v>
          </cell>
          <cell r="Z24">
            <v>0.96011997361046253</v>
          </cell>
          <cell r="AA24">
            <v>90.004311015049637</v>
          </cell>
        </row>
        <row r="25">
          <cell r="B25" t="str">
            <v>Almirante Brown</v>
          </cell>
          <cell r="D25">
            <v>557025</v>
          </cell>
          <cell r="F25">
            <v>594270.00000000256</v>
          </cell>
          <cell r="G25">
            <v>232936.98354652047</v>
          </cell>
          <cell r="H25">
            <v>0.39197163502535792</v>
          </cell>
          <cell r="J25">
            <v>597969.00000000198</v>
          </cell>
          <cell r="K25">
            <v>244825.647103811</v>
          </cell>
          <cell r="L25">
            <v>0.40942866119114901</v>
          </cell>
          <cell r="R25">
            <v>601618.00011232507</v>
          </cell>
          <cell r="S25">
            <v>246319.6523344866</v>
          </cell>
          <cell r="T25">
            <v>14058</v>
          </cell>
          <cell r="U25">
            <v>260377.6523344866</v>
          </cell>
          <cell r="V25">
            <v>0.43279564821177691</v>
          </cell>
          <cell r="X25">
            <v>16944</v>
          </cell>
          <cell r="Y25">
            <v>277321.6523344866</v>
          </cell>
          <cell r="Z25">
            <v>0.46095969914914325</v>
          </cell>
          <cell r="AA25">
            <v>49.979769547459995</v>
          </cell>
        </row>
        <row r="26">
          <cell r="B26" t="str">
            <v>Esteban Echeverría</v>
          </cell>
          <cell r="D26">
            <v>300785</v>
          </cell>
          <cell r="F26">
            <v>364641.00000000146</v>
          </cell>
          <cell r="G26">
            <v>185732.5122163679</v>
          </cell>
          <cell r="H26">
            <v>0.50935718204032776</v>
          </cell>
          <cell r="J26">
            <v>370900.00000000099</v>
          </cell>
          <cell r="K26">
            <v>199726.292866998</v>
          </cell>
          <cell r="L26">
            <v>0.53849094868427461</v>
          </cell>
          <cell r="R26">
            <v>377237.00000356504</v>
          </cell>
          <cell r="S26">
            <v>203138.71001072999</v>
          </cell>
          <cell r="T26">
            <v>3245</v>
          </cell>
          <cell r="U26">
            <v>206383.71001072999</v>
          </cell>
          <cell r="V26">
            <v>0.54709296810434704</v>
          </cell>
          <cell r="X26">
            <v>23254</v>
          </cell>
          <cell r="Y26">
            <v>229637.71001072999</v>
          </cell>
          <cell r="Z26">
            <v>0.60873591405021199</v>
          </cell>
          <cell r="AA26">
            <v>284.1082025595</v>
          </cell>
        </row>
        <row r="27">
          <cell r="B27" t="str">
            <v>Ezeiza</v>
          </cell>
          <cell r="D27">
            <v>163287</v>
          </cell>
          <cell r="F27">
            <v>213864.00000000003</v>
          </cell>
          <cell r="G27">
            <v>83562.911095188232</v>
          </cell>
          <cell r="H27">
            <v>0.39072920685663892</v>
          </cell>
          <cell r="J27">
            <v>219031</v>
          </cell>
          <cell r="K27">
            <v>106165.386870969</v>
          </cell>
          <cell r="L27">
            <v>0.48470484484373899</v>
          </cell>
          <cell r="R27">
            <v>224227.99996975801</v>
          </cell>
          <cell r="S27">
            <v>108684.39793496348</v>
          </cell>
          <cell r="T27">
            <v>19600</v>
          </cell>
          <cell r="U27">
            <v>128284.39793496348</v>
          </cell>
          <cell r="V27">
            <v>0.57211587291625221</v>
          </cell>
          <cell r="X27">
            <v>1528</v>
          </cell>
          <cell r="Y27">
            <v>129812.39793496348</v>
          </cell>
          <cell r="Z27">
            <v>0.57893036530884401</v>
          </cell>
          <cell r="AA27">
            <v>225.60757895</v>
          </cell>
        </row>
        <row r="28">
          <cell r="B28" t="str">
            <v>Lomas de Zamora</v>
          </cell>
          <cell r="D28">
            <v>621440</v>
          </cell>
          <cell r="F28">
            <v>645879.9999999979</v>
          </cell>
          <cell r="G28">
            <v>593305.59249484877</v>
          </cell>
          <cell r="H28">
            <v>0.91860034757981468</v>
          </cell>
          <cell r="J28">
            <v>648311.99999999895</v>
          </cell>
          <cell r="K28">
            <v>596214.60579299601</v>
          </cell>
          <cell r="L28">
            <v>0.91964147785787853</v>
          </cell>
          <cell r="R28">
            <v>650678.00005760009</v>
          </cell>
          <cell r="S28">
            <v>598390.47758257913</v>
          </cell>
          <cell r="T28">
            <v>0</v>
          </cell>
          <cell r="U28">
            <v>598390.47758257913</v>
          </cell>
          <cell r="V28">
            <v>0.91964147785787698</v>
          </cell>
          <cell r="X28">
            <v>9356</v>
          </cell>
          <cell r="Y28">
            <v>607746.47758257913</v>
          </cell>
          <cell r="Z28">
            <v>0.93402032576601557</v>
          </cell>
          <cell r="AA28">
            <v>26.642935463786916</v>
          </cell>
        </row>
        <row r="29">
          <cell r="B29" t="str">
            <v>Región Sudoeste</v>
          </cell>
          <cell r="D29">
            <v>1642537</v>
          </cell>
          <cell r="F29">
            <v>1818655.0000000019</v>
          </cell>
          <cell r="G29">
            <v>1095537.9993529255</v>
          </cell>
          <cell r="H29">
            <v>0.60238912787357923</v>
          </cell>
          <cell r="J29">
            <v>1836212</v>
          </cell>
          <cell r="K29">
            <v>1146931.9326347699</v>
          </cell>
          <cell r="L29">
            <v>0.62461847141548466</v>
          </cell>
          <cell r="R29">
            <v>1853761.0001432481</v>
          </cell>
          <cell r="S29">
            <v>1156533.2378627593</v>
          </cell>
          <cell r="T29">
            <v>36903</v>
          </cell>
          <cell r="U29">
            <v>1193436.2378627593</v>
          </cell>
          <cell r="V29">
            <v>0.64379185761839708</v>
          </cell>
          <cell r="X29">
            <v>51082</v>
          </cell>
          <cell r="Y29">
            <v>1244518.2378627593</v>
          </cell>
          <cell r="Z29">
            <v>0.67134772916605212</v>
          </cell>
          <cell r="AA29">
            <v>586.33848652074698</v>
          </cell>
        </row>
        <row r="30">
          <cell r="B30" t="str">
            <v>Total Concesión</v>
          </cell>
          <cell r="D30">
            <v>10390843</v>
          </cell>
          <cell r="F30">
            <v>11249529.000000009</v>
          </cell>
          <cell r="G30">
            <v>9577462.0141898319</v>
          </cell>
          <cell r="H30">
            <v>0.85136560065668743</v>
          </cell>
          <cell r="J30">
            <v>11337275</v>
          </cell>
          <cell r="K30">
            <v>9709817.0422436409</v>
          </cell>
          <cell r="L30">
            <v>0.85645069403746854</v>
          </cell>
          <cell r="R30">
            <v>11423450.998614607</v>
          </cell>
          <cell r="S30">
            <v>9777283.1386144944</v>
          </cell>
          <cell r="T30">
            <v>154814</v>
          </cell>
          <cell r="U30">
            <v>9932097.1386144944</v>
          </cell>
          <cell r="V30">
            <v>0.86944804506265416</v>
          </cell>
          <cell r="X30">
            <v>350068</v>
          </cell>
          <cell r="Y30">
            <v>10282165.138614494</v>
          </cell>
          <cell r="Z30">
            <v>0.90009272503217075</v>
          </cell>
          <cell r="AA30">
            <v>4915.489223450706</v>
          </cell>
        </row>
        <row r="32">
          <cell r="B32" t="str">
            <v>San Miguel</v>
          </cell>
          <cell r="D32">
            <v>278019</v>
          </cell>
          <cell r="F32">
            <v>301739.99999999948</v>
          </cell>
          <cell r="G32">
            <v>120523.86800902076</v>
          </cell>
          <cell r="H32">
            <v>0.39942953539146608</v>
          </cell>
          <cell r="J32">
            <v>304122</v>
          </cell>
          <cell r="K32">
            <v>121475.3091623236</v>
          </cell>
          <cell r="L32">
            <v>0.39942953539146658</v>
          </cell>
          <cell r="R32">
            <v>306469.00009958405</v>
          </cell>
          <cell r="S32">
            <v>122412.77032166415</v>
          </cell>
          <cell r="T32">
            <v>0</v>
          </cell>
          <cell r="U32">
            <v>122412.77032166415</v>
          </cell>
          <cell r="V32">
            <v>0.39942953539146647</v>
          </cell>
          <cell r="X32">
            <v>6920</v>
          </cell>
          <cell r="Y32">
            <v>129332.77032166415</v>
          </cell>
          <cell r="Z32">
            <v>0.42200930691077648</v>
          </cell>
          <cell r="AA32">
            <v>72.525567365499995</v>
          </cell>
        </row>
        <row r="33">
          <cell r="B33" t="str">
            <v>José C. Paz</v>
          </cell>
          <cell r="D33">
            <v>267275</v>
          </cell>
          <cell r="F33">
            <v>303896.00000000041</v>
          </cell>
          <cell r="G33">
            <v>28877.936986250155</v>
          </cell>
          <cell r="H33">
            <v>9.5025722570386301E-2</v>
          </cell>
          <cell r="J33">
            <v>307443</v>
          </cell>
          <cell r="K33">
            <v>29214.993224207261</v>
          </cell>
          <cell r="L33">
            <v>9.5025722570386259E-2</v>
          </cell>
          <cell r="R33">
            <v>311187.00011455</v>
          </cell>
          <cell r="S33">
            <v>29570.769540395984</v>
          </cell>
          <cell r="T33">
            <v>0</v>
          </cell>
          <cell r="U33">
            <v>29570.769540395984</v>
          </cell>
          <cell r="V33">
            <v>9.5025722570386259E-2</v>
          </cell>
          <cell r="X33">
            <v>18195</v>
          </cell>
          <cell r="Y33">
            <v>47765.769540395981</v>
          </cell>
          <cell r="Z33">
            <v>0.15349538869815604</v>
          </cell>
          <cell r="AA33">
            <v>121.33307464717204</v>
          </cell>
        </row>
        <row r="34">
          <cell r="B34" t="str">
            <v>Malvinas Argentinas</v>
          </cell>
          <cell r="D34">
            <v>324358</v>
          </cell>
          <cell r="F34">
            <v>356643.00000000006</v>
          </cell>
          <cell r="G34">
            <v>47988.109101671616</v>
          </cell>
          <cell r="H34">
            <v>0.13455502870285302</v>
          </cell>
          <cell r="J34">
            <v>359953</v>
          </cell>
          <cell r="K34">
            <v>48433.486246678054</v>
          </cell>
          <cell r="L34">
            <v>0.13455502870285302</v>
          </cell>
          <cell r="R34">
            <v>363262.99997318198</v>
          </cell>
          <cell r="S34">
            <v>48878.863388076003</v>
          </cell>
          <cell r="T34">
            <v>0</v>
          </cell>
          <cell r="U34">
            <v>48878.863388076003</v>
          </cell>
          <cell r="V34">
            <v>0.13455502870285305</v>
          </cell>
          <cell r="X34">
            <v>18738</v>
          </cell>
          <cell r="Y34">
            <v>67616.863388076003</v>
          </cell>
          <cell r="Z34">
            <v>0.18613749099982063</v>
          </cell>
          <cell r="AA34">
            <v>115.32648679335165</v>
          </cell>
        </row>
        <row r="35">
          <cell r="B35" t="str">
            <v>Escobar</v>
          </cell>
          <cell r="D35">
            <v>215256</v>
          </cell>
          <cell r="F35">
            <v>251244.99999999936</v>
          </cell>
          <cell r="G35">
            <v>38135.651898204829</v>
          </cell>
          <cell r="H35">
            <v>0.15178670977812464</v>
          </cell>
          <cell r="J35">
            <v>255073</v>
          </cell>
          <cell r="K35">
            <v>38716.691442299998</v>
          </cell>
          <cell r="L35">
            <v>0.15178670985286563</v>
          </cell>
          <cell r="R35">
            <v>258804.99994931999</v>
          </cell>
          <cell r="S35">
            <v>39283.159435778347</v>
          </cell>
          <cell r="T35">
            <v>0</v>
          </cell>
          <cell r="U35">
            <v>39283.159435778347</v>
          </cell>
          <cell r="V35">
            <v>0.15178670985286566</v>
          </cell>
          <cell r="X35">
            <v>21472</v>
          </cell>
          <cell r="Y35">
            <v>60755.159435778347</v>
          </cell>
          <cell r="Z35">
            <v>0.23475264947615238</v>
          </cell>
          <cell r="AA35">
            <v>709.36015242849999</v>
          </cell>
        </row>
        <row r="36">
          <cell r="B36" t="str">
            <v>Pilar</v>
          </cell>
          <cell r="D36">
            <v>299549</v>
          </cell>
          <cell r="F36">
            <v>370798.00000000017</v>
          </cell>
          <cell r="G36">
            <v>101235.43338151694</v>
          </cell>
          <cell r="H36">
            <v>0.27302044072922965</v>
          </cell>
          <cell r="J36">
            <v>378167.00000000099</v>
          </cell>
          <cell r="K36">
            <v>103258.70130304589</v>
          </cell>
          <cell r="L36">
            <v>0.27305053403138196</v>
          </cell>
          <cell r="R36">
            <v>385426.00006804604</v>
          </cell>
          <cell r="S36">
            <v>105240.77514815968</v>
          </cell>
          <cell r="T36">
            <v>0</v>
          </cell>
          <cell r="U36">
            <v>105240.77514815968</v>
          </cell>
          <cell r="V36">
            <v>0.27305053403138263</v>
          </cell>
          <cell r="X36">
            <v>30312</v>
          </cell>
          <cell r="Y36">
            <v>135552.77514815968</v>
          </cell>
          <cell r="Z36">
            <v>0.3516959808737038</v>
          </cell>
          <cell r="AA36">
            <v>278.12307182770201</v>
          </cell>
        </row>
        <row r="37">
          <cell r="B37" t="str">
            <v>Región Norte (nuevo)</v>
          </cell>
          <cell r="D37">
            <v>1384457</v>
          </cell>
          <cell r="F37">
            <v>1584321.9999999995</v>
          </cell>
          <cell r="G37">
            <v>336760.99937666429</v>
          </cell>
          <cell r="H37">
            <v>0.21255843154148235</v>
          </cell>
          <cell r="J37">
            <v>1604758</v>
          </cell>
          <cell r="K37">
            <v>341099.18137855479</v>
          </cell>
          <cell r="L37">
            <v>0.21255490321815176</v>
          </cell>
          <cell r="R37">
            <v>1625150.0002046824</v>
          </cell>
          <cell r="S37">
            <v>345386.33783407416</v>
          </cell>
          <cell r="T37">
            <v>0</v>
          </cell>
          <cell r="U37">
            <v>345386.33783407416</v>
          </cell>
          <cell r="V37">
            <v>0.21252582087227265</v>
          </cell>
          <cell r="X37">
            <v>95637</v>
          </cell>
          <cell r="Y37">
            <v>441023.33783407416</v>
          </cell>
          <cell r="Z37">
            <v>0.2713739271935075</v>
          </cell>
          <cell r="AA37">
            <v>1296.6683530622256</v>
          </cell>
        </row>
        <row r="38">
          <cell r="B38" t="str">
            <v>Merlo</v>
          </cell>
          <cell r="D38">
            <v>531609</v>
          </cell>
          <cell r="F38">
            <v>599118.99999999884</v>
          </cell>
          <cell r="G38">
            <v>242065.4482730724</v>
          </cell>
          <cell r="H38">
            <v>0.40403567283473379</v>
          </cell>
          <cell r="J38">
            <v>606413.00000000105</v>
          </cell>
          <cell r="K38">
            <v>245012.48427515998</v>
          </cell>
          <cell r="L38">
            <v>0.40403567251223105</v>
          </cell>
          <cell r="R38">
            <v>613508.99991057301</v>
          </cell>
          <cell r="S38">
            <v>247879.52137117504</v>
          </cell>
          <cell r="T38">
            <v>0</v>
          </cell>
          <cell r="U38">
            <v>247879.52137117504</v>
          </cell>
          <cell r="V38">
            <v>0.40403567251223166</v>
          </cell>
          <cell r="X38">
            <v>9790</v>
          </cell>
          <cell r="Y38">
            <v>257669.52137117504</v>
          </cell>
          <cell r="Z38">
            <v>0.4199930586327727</v>
          </cell>
          <cell r="AA38">
            <v>184.69444454006097</v>
          </cell>
        </row>
        <row r="39">
          <cell r="B39" t="str">
            <v>Moreno</v>
          </cell>
          <cell r="D39">
            <v>454416</v>
          </cell>
          <cell r="F39">
            <v>533291.9999999993</v>
          </cell>
          <cell r="G39">
            <v>196439.124986796</v>
          </cell>
          <cell r="H39">
            <v>0.36835190662300626</v>
          </cell>
          <cell r="J39">
            <v>541690.99999999895</v>
          </cell>
          <cell r="K39">
            <v>199532.91288449999</v>
          </cell>
          <cell r="L39">
            <v>0.3683519070549453</v>
          </cell>
          <cell r="R39">
            <v>549929.99986339197</v>
          </cell>
          <cell r="S39">
            <v>202567.76419640589</v>
          </cell>
          <cell r="T39">
            <v>0</v>
          </cell>
          <cell r="U39">
            <v>202567.76419640589</v>
          </cell>
          <cell r="V39">
            <v>0.36835190705494464</v>
          </cell>
          <cell r="X39">
            <v>0</v>
          </cell>
          <cell r="Y39">
            <v>202567.76419640589</v>
          </cell>
          <cell r="Z39">
            <v>0.36835190705494464</v>
          </cell>
          <cell r="AA39">
            <v>0</v>
          </cell>
        </row>
        <row r="40">
          <cell r="B40" t="str">
            <v>Región Oeste (nuevo)</v>
          </cell>
          <cell r="D40">
            <v>986025</v>
          </cell>
          <cell r="F40">
            <v>1132410.9999999981</v>
          </cell>
          <cell r="G40">
            <v>438504.57325986843</v>
          </cell>
          <cell r="H40">
            <v>0.3872309375835003</v>
          </cell>
          <cell r="J40">
            <v>1148104</v>
          </cell>
          <cell r="K40">
            <v>444545.39715966</v>
          </cell>
          <cell r="L40">
            <v>0.38719958920068215</v>
          </cell>
          <cell r="R40">
            <v>1163438.999773965</v>
          </cell>
          <cell r="S40">
            <v>450447.28556758096</v>
          </cell>
          <cell r="T40">
            <v>0</v>
          </cell>
          <cell r="U40">
            <v>450447.28556758096</v>
          </cell>
          <cell r="V40">
            <v>0.38716880356863975</v>
          </cell>
          <cell r="X40">
            <v>9790</v>
          </cell>
          <cell r="Y40">
            <v>460237.28556758096</v>
          </cell>
          <cell r="Z40">
            <v>0.39558351203371789</v>
          </cell>
          <cell r="AA40">
            <v>184.69444454006097</v>
          </cell>
        </row>
        <row r="41">
          <cell r="B41" t="str">
            <v>Florencio Varela</v>
          </cell>
          <cell r="D41">
            <v>426738</v>
          </cell>
          <cell r="F41">
            <v>508671.00000000035</v>
          </cell>
          <cell r="G41">
            <v>362151.75247810158</v>
          </cell>
          <cell r="H41">
            <v>0.71195675098069544</v>
          </cell>
          <cell r="J41">
            <v>517082.00000000099</v>
          </cell>
          <cell r="K41">
            <v>368140.02222684002</v>
          </cell>
          <cell r="L41">
            <v>0.71195675391299507</v>
          </cell>
          <cell r="R41">
            <v>525269.99995173595</v>
          </cell>
          <cell r="S41">
            <v>373969.5240935178</v>
          </cell>
          <cell r="T41">
            <v>0</v>
          </cell>
          <cell r="U41">
            <v>373969.5240935178</v>
          </cell>
          <cell r="V41">
            <v>0.71195675391299662</v>
          </cell>
          <cell r="X41">
            <v>0</v>
          </cell>
          <cell r="Y41">
            <v>373969.5240935178</v>
          </cell>
          <cell r="Z41">
            <v>0.71195675391299662</v>
          </cell>
          <cell r="AA41">
            <v>0</v>
          </cell>
        </row>
        <row r="42">
          <cell r="B42" t="str">
            <v>Región Sudeste (nuevo)</v>
          </cell>
          <cell r="D42">
            <v>426738</v>
          </cell>
          <cell r="F42">
            <v>508671.00000000035</v>
          </cell>
          <cell r="G42">
            <v>362151.75247810158</v>
          </cell>
          <cell r="H42">
            <v>0.71195675098069544</v>
          </cell>
          <cell r="J42">
            <v>517082.00000000099</v>
          </cell>
          <cell r="K42">
            <v>368140.02222684002</v>
          </cell>
          <cell r="L42">
            <v>0.71195675391299507</v>
          </cell>
          <cell r="R42">
            <v>525269.99995173595</v>
          </cell>
          <cell r="S42">
            <v>373969.5240935178</v>
          </cell>
          <cell r="T42">
            <v>0</v>
          </cell>
          <cell r="U42">
            <v>373969.5240935178</v>
          </cell>
          <cell r="V42">
            <v>0.71195675391299662</v>
          </cell>
          <cell r="X42">
            <v>0</v>
          </cell>
          <cell r="Y42">
            <v>373969.5240935178</v>
          </cell>
          <cell r="Z42">
            <v>0.71195675391299662</v>
          </cell>
          <cell r="AA42">
            <v>0</v>
          </cell>
        </row>
        <row r="43">
          <cell r="B43" t="str">
            <v>Presidente Perón</v>
          </cell>
          <cell r="D43">
            <v>81166</v>
          </cell>
          <cell r="F43">
            <v>103596.9999999998</v>
          </cell>
          <cell r="G43">
            <v>60323.30549737563</v>
          </cell>
          <cell r="H43">
            <v>0.58228815021067937</v>
          </cell>
          <cell r="J43">
            <v>105918</v>
          </cell>
          <cell r="K43">
            <v>61674.796443359999</v>
          </cell>
          <cell r="L43">
            <v>0.5822881516206877</v>
          </cell>
          <cell r="R43">
            <v>108203.000017194</v>
          </cell>
          <cell r="S43">
            <v>63005.324879825137</v>
          </cell>
          <cell r="T43">
            <v>0</v>
          </cell>
          <cell r="U43">
            <v>63005.324879825137</v>
          </cell>
          <cell r="V43">
            <v>0.5822881516206877</v>
          </cell>
          <cell r="X43">
            <v>1055</v>
          </cell>
          <cell r="Y43">
            <v>64060.324879825137</v>
          </cell>
          <cell r="Z43">
            <v>0.59203834338831296</v>
          </cell>
          <cell r="AA43">
            <v>12.222805623739129</v>
          </cell>
        </row>
        <row r="44">
          <cell r="B44" t="str">
            <v>Región Sudoeste (nuevo)</v>
          </cell>
          <cell r="D44">
            <v>81166</v>
          </cell>
          <cell r="F44">
            <v>103596.9999999998</v>
          </cell>
          <cell r="G44">
            <v>60323.30549737563</v>
          </cell>
          <cell r="H44">
            <v>0.58228815021067937</v>
          </cell>
          <cell r="J44">
            <v>105918</v>
          </cell>
          <cell r="K44">
            <v>61674.796443359999</v>
          </cell>
          <cell r="L44">
            <v>0.5822881516206877</v>
          </cell>
          <cell r="R44">
            <v>108203.000017194</v>
          </cell>
          <cell r="S44">
            <v>63005.324879825137</v>
          </cell>
          <cell r="T44">
            <v>0</v>
          </cell>
          <cell r="U44">
            <v>63005.324879825137</v>
          </cell>
          <cell r="V44">
            <v>0.5822881516206877</v>
          </cell>
          <cell r="X44">
            <v>1055</v>
          </cell>
          <cell r="Y44">
            <v>64060.324879825137</v>
          </cell>
          <cell r="Z44">
            <v>0.59203834338831296</v>
          </cell>
          <cell r="AA44">
            <v>12.222805623739129</v>
          </cell>
        </row>
        <row r="45">
          <cell r="B45" t="str">
            <v>Total Concesión (nuevo)</v>
          </cell>
          <cell r="D45">
            <v>2878386</v>
          </cell>
          <cell r="F45">
            <v>3329000.9999999977</v>
          </cell>
          <cell r="G45">
            <v>1197740.6306120097</v>
          </cell>
          <cell r="H45">
            <v>0.35978980799705695</v>
          </cell>
          <cell r="J45">
            <v>3375862</v>
          </cell>
          <cell r="K45">
            <v>1215459.3972084147</v>
          </cell>
          <cell r="L45">
            <v>0.36004415974598925</v>
          </cell>
          <cell r="R45">
            <v>3422061.9999475772</v>
          </cell>
          <cell r="S45">
            <v>1232808.472374998</v>
          </cell>
          <cell r="T45">
            <v>0</v>
          </cell>
          <cell r="U45">
            <v>1232808.472374998</v>
          </cell>
          <cell r="V45">
            <v>0.36025310832880397</v>
          </cell>
          <cell r="X45">
            <v>106482</v>
          </cell>
          <cell r="Y45">
            <v>1339290.472374998</v>
          </cell>
          <cell r="Z45">
            <v>0.39136943526900292</v>
          </cell>
          <cell r="AA45">
            <v>1493.5856032260256</v>
          </cell>
        </row>
        <row r="47">
          <cell r="B47" t="str">
            <v>Total AySA</v>
          </cell>
          <cell r="D47">
            <v>13269229</v>
          </cell>
          <cell r="F47">
            <v>14578530.000000007</v>
          </cell>
          <cell r="G47">
            <v>10775202.644801842</v>
          </cell>
          <cell r="H47">
            <v>0.73911448169341054</v>
          </cell>
          <cell r="J47">
            <v>14713137</v>
          </cell>
          <cell r="K47">
            <v>10925276.439452056</v>
          </cell>
          <cell r="L47">
            <v>0.74255248486111802</v>
          </cell>
          <cell r="R47">
            <v>14845512.998562185</v>
          </cell>
          <cell r="S47">
            <v>11010091.610989492</v>
          </cell>
          <cell r="T47">
            <v>154814</v>
          </cell>
          <cell r="U47">
            <v>11164905.610989492</v>
          </cell>
          <cell r="V47">
            <v>0.75207273821193199</v>
          </cell>
          <cell r="X47">
            <v>456550</v>
          </cell>
          <cell r="Y47">
            <v>11621455.610989492</v>
          </cell>
          <cell r="Z47">
            <v>0.78282613824898151</v>
          </cell>
          <cell r="AA47">
            <v>6409.0748266767314</v>
          </cell>
        </row>
        <row r="52">
          <cell r="B52" t="str">
            <v>Capital Federal</v>
          </cell>
          <cell r="D52">
            <v>3028481</v>
          </cell>
          <cell r="F52">
            <v>3072029.0000000023</v>
          </cell>
          <cell r="G52">
            <v>3072029.0000000023</v>
          </cell>
          <cell r="H52">
            <v>1</v>
          </cell>
          <cell r="J52">
            <v>3075645.9999999902</v>
          </cell>
          <cell r="K52">
            <v>3075645.9999999902</v>
          </cell>
          <cell r="L52">
            <v>1</v>
          </cell>
          <cell r="R52">
            <v>3078835.9987737066</v>
          </cell>
          <cell r="S52">
            <v>3078835.9987736968</v>
          </cell>
          <cell r="T52">
            <v>1790</v>
          </cell>
          <cell r="U52">
            <v>3080625.9987736968</v>
          </cell>
          <cell r="V52">
            <v>1</v>
          </cell>
          <cell r="X52">
            <v>0</v>
          </cell>
          <cell r="Y52">
            <v>3080625.9987736968</v>
          </cell>
          <cell r="Z52">
            <v>1</v>
          </cell>
          <cell r="AA52">
            <v>143.92164568743001</v>
          </cell>
        </row>
        <row r="53">
          <cell r="B53" t="str">
            <v>San Fernando</v>
          </cell>
          <cell r="D53">
            <v>164452</v>
          </cell>
          <cell r="F53">
            <v>173904.00000000076</v>
          </cell>
          <cell r="G53">
            <v>144953.48673169134</v>
          </cell>
          <cell r="H53">
            <v>0.83352589205360839</v>
          </cell>
          <cell r="J53">
            <v>174883</v>
          </cell>
          <cell r="K53">
            <v>145769.508580011</v>
          </cell>
          <cell r="L53">
            <v>0.83352589205360805</v>
          </cell>
          <cell r="R53">
            <v>175845.00005144798</v>
          </cell>
          <cell r="S53">
            <v>146571.36053104978</v>
          </cell>
          <cell r="T53">
            <v>0</v>
          </cell>
          <cell r="U53">
            <v>146571.36053104978</v>
          </cell>
          <cell r="V53">
            <v>0.83352589205360716</v>
          </cell>
          <cell r="X53">
            <v>1418</v>
          </cell>
          <cell r="Y53">
            <v>147989.36053104978</v>
          </cell>
          <cell r="Z53">
            <v>0.84158981198073124</v>
          </cell>
          <cell r="AA53">
            <v>8.4269984813080008</v>
          </cell>
        </row>
        <row r="54">
          <cell r="B54" t="str">
            <v>Tigre</v>
          </cell>
          <cell r="D54">
            <v>376515</v>
          </cell>
          <cell r="F54">
            <v>455056.0000000014</v>
          </cell>
          <cell r="G54">
            <v>51945.624689587559</v>
          </cell>
          <cell r="H54">
            <v>0.11415215861253868</v>
          </cell>
          <cell r="J54">
            <v>462998</v>
          </cell>
          <cell r="K54">
            <v>58136.213553244903</v>
          </cell>
          <cell r="L54">
            <v>0.12556471853710999</v>
          </cell>
          <cell r="R54">
            <v>470776.00014072005</v>
          </cell>
          <cell r="S54">
            <v>59112.855951696016</v>
          </cell>
          <cell r="T54">
            <v>12634</v>
          </cell>
          <cell r="U54">
            <v>71746.855951696023</v>
          </cell>
          <cell r="V54">
            <v>0.15240126074874275</v>
          </cell>
          <cell r="X54">
            <v>321887</v>
          </cell>
          <cell r="Y54">
            <v>393633.85595169605</v>
          </cell>
          <cell r="Z54">
            <v>0.83613832445586567</v>
          </cell>
          <cell r="AA54">
            <v>12189.641932840877</v>
          </cell>
        </row>
        <row r="55">
          <cell r="B55" t="str">
            <v>San Isidro</v>
          </cell>
          <cell r="D55">
            <v>295894</v>
          </cell>
          <cell r="F55">
            <v>292519.99999999994</v>
          </cell>
          <cell r="G55">
            <v>273112.84703305905</v>
          </cell>
          <cell r="H55">
            <v>0.93365529547743442</v>
          </cell>
          <cell r="J55">
            <v>292224</v>
          </cell>
          <cell r="K55">
            <v>272836.48506559798</v>
          </cell>
          <cell r="L55">
            <v>0.93365529547743398</v>
          </cell>
          <cell r="R55">
            <v>291962.99997927801</v>
          </cell>
          <cell r="S55">
            <v>272592.80101413111</v>
          </cell>
          <cell r="T55">
            <v>0</v>
          </cell>
          <cell r="U55">
            <v>272592.80101413111</v>
          </cell>
          <cell r="V55">
            <v>0.93365529547743487</v>
          </cell>
          <cell r="X55">
            <v>0</v>
          </cell>
          <cell r="Y55">
            <v>272592.80101413111</v>
          </cell>
          <cell r="Z55">
            <v>0.93365529547743487</v>
          </cell>
          <cell r="AA55">
            <v>0</v>
          </cell>
        </row>
        <row r="56">
          <cell r="B56" t="str">
            <v>San Martín</v>
          </cell>
          <cell r="D56">
            <v>418017</v>
          </cell>
          <cell r="F56">
            <v>424566.99999999802</v>
          </cell>
          <cell r="G56">
            <v>317137.63534736476</v>
          </cell>
          <cell r="H56">
            <v>0.74696722860553511</v>
          </cell>
          <cell r="J56">
            <v>425264.99999999802</v>
          </cell>
          <cell r="K56">
            <v>317659.01847293199</v>
          </cell>
          <cell r="L56">
            <v>0.74696722860553499</v>
          </cell>
          <cell r="R56">
            <v>425910.99981678301</v>
          </cell>
          <cell r="S56">
            <v>318141.55916575412</v>
          </cell>
          <cell r="T56">
            <v>15006</v>
          </cell>
          <cell r="U56">
            <v>333147.55916575412</v>
          </cell>
          <cell r="V56">
            <v>0.78219994155836892</v>
          </cell>
          <cell r="X56">
            <v>40162</v>
          </cell>
          <cell r="Y56">
            <v>373309.55916575412</v>
          </cell>
          <cell r="Z56">
            <v>0.87649663738748984</v>
          </cell>
          <cell r="AA56">
            <v>648.19166630463303</v>
          </cell>
        </row>
        <row r="57">
          <cell r="B57" t="str">
            <v>Vicente López</v>
          </cell>
          <cell r="D57">
            <v>272389</v>
          </cell>
          <cell r="F57">
            <v>268064.00000000006</v>
          </cell>
          <cell r="G57">
            <v>264529.03387434885</v>
          </cell>
          <cell r="H57">
            <v>0.98681297702917514</v>
          </cell>
          <cell r="J57">
            <v>267655</v>
          </cell>
          <cell r="K57">
            <v>264125.42736674403</v>
          </cell>
          <cell r="L57">
            <v>0.98681297702917503</v>
          </cell>
          <cell r="R57">
            <v>267257.000022922</v>
          </cell>
          <cell r="S57">
            <v>263732.67582450615</v>
          </cell>
          <cell r="T57">
            <v>0</v>
          </cell>
          <cell r="U57">
            <v>263732.67582450615</v>
          </cell>
          <cell r="V57">
            <v>0.9868129770291757</v>
          </cell>
          <cell r="X57">
            <v>0</v>
          </cell>
          <cell r="Y57">
            <v>263732.67582450615</v>
          </cell>
          <cell r="Z57">
            <v>0.9868129770291757</v>
          </cell>
          <cell r="AA57">
            <v>0</v>
          </cell>
        </row>
        <row r="58">
          <cell r="B58" t="str">
            <v>Región Norte</v>
          </cell>
          <cell r="D58">
            <v>1527267</v>
          </cell>
          <cell r="F58">
            <v>1614111</v>
          </cell>
          <cell r="G58">
            <v>1051678.6276760516</v>
          </cell>
          <cell r="H58">
            <v>0.65155285335150526</v>
          </cell>
          <cell r="J58">
            <v>1623025</v>
          </cell>
          <cell r="K58">
            <v>1058526.6530385299</v>
          </cell>
          <cell r="L58">
            <v>0.65219368342356399</v>
          </cell>
          <cell r="R58">
            <v>1631752.000011151</v>
          </cell>
          <cell r="S58">
            <v>1060151.2524871372</v>
          </cell>
          <cell r="T58">
            <v>27640</v>
          </cell>
          <cell r="U58">
            <v>1087791.2524871372</v>
          </cell>
          <cell r="V58">
            <v>0.66664006079337024</v>
          </cell>
          <cell r="X58">
            <v>363467</v>
          </cell>
          <cell r="Y58">
            <v>1451258.2524871372</v>
          </cell>
          <cell r="Z58">
            <v>0.88938653206934615</v>
          </cell>
          <cell r="AA58">
            <v>12846.260597626817</v>
          </cell>
        </row>
        <row r="59">
          <cell r="B59" t="str">
            <v>La Matanza</v>
          </cell>
          <cell r="D59">
            <v>1777530</v>
          </cell>
          <cell r="F59">
            <v>2233860.0000000037</v>
          </cell>
          <cell r="G59">
            <v>1306336.7666368522</v>
          </cell>
          <cell r="H59">
            <v>0.58478900496756736</v>
          </cell>
          <cell r="J59">
            <v>2281194</v>
          </cell>
          <cell r="K59">
            <v>1339168.5382727699</v>
          </cell>
          <cell r="L59">
            <v>0.58704719470276201</v>
          </cell>
          <cell r="R59">
            <v>2327873.9997795601</v>
          </cell>
          <cell r="S59">
            <v>1366571.9011920861</v>
          </cell>
          <cell r="T59">
            <v>9516</v>
          </cell>
          <cell r="U59">
            <v>1376087.9011920861</v>
          </cell>
          <cell r="V59">
            <v>0.59113504481874701</v>
          </cell>
          <cell r="X59">
            <v>33854</v>
          </cell>
          <cell r="Y59">
            <v>1409941.9011920861</v>
          </cell>
          <cell r="Z59">
            <v>0.60567792815487509</v>
          </cell>
          <cell r="AA59">
            <v>672.32696205000013</v>
          </cell>
        </row>
        <row r="60">
          <cell r="B60" t="str">
            <v>Hurlingham</v>
          </cell>
          <cell r="D60">
            <v>182604</v>
          </cell>
          <cell r="F60">
            <v>192553.99999999927</v>
          </cell>
          <cell r="G60">
            <v>107692.90328798891</v>
          </cell>
          <cell r="H60">
            <v>0.55928676261199106</v>
          </cell>
          <cell r="J60">
            <v>193583</v>
          </cell>
          <cell r="K60">
            <v>108268.40936671699</v>
          </cell>
          <cell r="L60">
            <v>0.55928676261199095</v>
          </cell>
          <cell r="R60">
            <v>194596.99995716399</v>
          </cell>
          <cell r="S60">
            <v>108835.52612004794</v>
          </cell>
          <cell r="T60">
            <v>27860</v>
          </cell>
          <cell r="U60">
            <v>136695.52612004796</v>
          </cell>
          <cell r="V60">
            <v>0.70245443737641533</v>
          </cell>
          <cell r="X60">
            <v>40285</v>
          </cell>
          <cell r="Y60">
            <v>176980.52612004796</v>
          </cell>
          <cell r="Z60">
            <v>0.90947201734356697</v>
          </cell>
          <cell r="AA60">
            <v>1076.9492506503059</v>
          </cell>
        </row>
        <row r="61">
          <cell r="B61" t="str">
            <v>Ituzaingó</v>
          </cell>
          <cell r="D61">
            <v>169038</v>
          </cell>
          <cell r="F61">
            <v>179801</v>
          </cell>
          <cell r="G61">
            <v>67932.480661153124</v>
          </cell>
          <cell r="H61">
            <v>0.37782037175073069</v>
          </cell>
          <cell r="J61">
            <v>180914</v>
          </cell>
          <cell r="K61">
            <v>68745.778830795607</v>
          </cell>
          <cell r="L61">
            <v>0.37999148120540899</v>
          </cell>
          <cell r="R61">
            <v>182010.999983166</v>
          </cell>
          <cell r="S61">
            <v>69162.629479281168</v>
          </cell>
          <cell r="T61">
            <v>0</v>
          </cell>
          <cell r="U61">
            <v>69162.629479281168</v>
          </cell>
          <cell r="V61">
            <v>0.37999148120541038</v>
          </cell>
          <cell r="X61">
            <v>46365</v>
          </cell>
          <cell r="Y61">
            <v>115527.62947928117</v>
          </cell>
          <cell r="Z61">
            <v>0.63472883226819365</v>
          </cell>
          <cell r="AA61">
            <v>1469.2362705202463</v>
          </cell>
        </row>
        <row r="62">
          <cell r="B62" t="str">
            <v>Morón</v>
          </cell>
          <cell r="D62">
            <v>324279</v>
          </cell>
          <cell r="F62">
            <v>319138.00000000006</v>
          </cell>
          <cell r="G62">
            <v>238560.03199097078</v>
          </cell>
          <cell r="H62">
            <v>0.74751371504167707</v>
          </cell>
          <cell r="J62">
            <v>318632</v>
          </cell>
          <cell r="K62">
            <v>254785.52799286999</v>
          </cell>
          <cell r="L62">
            <v>0.79962316400383604</v>
          </cell>
          <cell r="R62">
            <v>318104.00015792402</v>
          </cell>
          <cell r="S62">
            <v>254363.32708855567</v>
          </cell>
          <cell r="T62">
            <v>7469</v>
          </cell>
          <cell r="U62">
            <v>261832.32708855567</v>
          </cell>
          <cell r="V62">
            <v>0.82310290646633788</v>
          </cell>
          <cell r="X62">
            <v>70080</v>
          </cell>
          <cell r="Y62">
            <v>331912.32708855567</v>
          </cell>
          <cell r="Z62">
            <v>1</v>
          </cell>
          <cell r="AA62">
            <v>498.11149491068903</v>
          </cell>
        </row>
        <row r="63">
          <cell r="B63" t="str">
            <v>Tres de Febrero</v>
          </cell>
          <cell r="D63">
            <v>343338</v>
          </cell>
          <cell r="F63">
            <v>344010.99999999884</v>
          </cell>
          <cell r="G63">
            <v>307584.73810938385</v>
          </cell>
          <cell r="H63">
            <v>0.89411308972499393</v>
          </cell>
          <cell r="J63">
            <v>344066.99999999802</v>
          </cell>
          <cell r="K63">
            <v>307711.97193436098</v>
          </cell>
          <cell r="L63">
            <v>0.89433735852134</v>
          </cell>
          <cell r="R63">
            <v>344116.99993153801</v>
          </cell>
          <cell r="S63">
            <v>307756.68874105893</v>
          </cell>
          <cell r="T63">
            <v>0</v>
          </cell>
          <cell r="U63">
            <v>307756.68874105893</v>
          </cell>
          <cell r="V63">
            <v>0.89433735852133733</v>
          </cell>
          <cell r="X63">
            <v>5281</v>
          </cell>
          <cell r="Y63">
            <v>313037.68874105893</v>
          </cell>
          <cell r="Z63">
            <v>0.90968388310759918</v>
          </cell>
          <cell r="AA63">
            <v>151.98879807999998</v>
          </cell>
        </row>
        <row r="64">
          <cell r="B64" t="str">
            <v>Región Oeste</v>
          </cell>
          <cell r="D64">
            <v>2796789</v>
          </cell>
          <cell r="F64">
            <v>3269364.0000000019</v>
          </cell>
          <cell r="G64">
            <v>2028106.9206863488</v>
          </cell>
          <cell r="H64">
            <v>0.62033683636522197</v>
          </cell>
          <cell r="J64">
            <v>3318390</v>
          </cell>
          <cell r="K64">
            <v>2078680.2263975199</v>
          </cell>
          <cell r="L64">
            <v>0.62641227414424405</v>
          </cell>
          <cell r="R64">
            <v>3366702.9998093517</v>
          </cell>
          <cell r="S64">
            <v>2106690.0726210298</v>
          </cell>
          <cell r="T64">
            <v>44845</v>
          </cell>
          <cell r="U64">
            <v>2151535.0726210298</v>
          </cell>
          <cell r="V64">
            <v>0.63906292676926535</v>
          </cell>
          <cell r="X64">
            <v>195865</v>
          </cell>
          <cell r="Y64">
            <v>2347400.0726210298</v>
          </cell>
          <cell r="Z64">
            <v>0.69724002169302057</v>
          </cell>
          <cell r="AA64">
            <v>3868.6127762112415</v>
          </cell>
        </row>
        <row r="65">
          <cell r="B65" t="str">
            <v>Avellaneda</v>
          </cell>
          <cell r="D65">
            <v>345752</v>
          </cell>
          <cell r="F65">
            <v>355352.00000000064</v>
          </cell>
          <cell r="G65">
            <v>245629.80369744831</v>
          </cell>
          <cell r="H65">
            <v>0.69122955181748769</v>
          </cell>
          <cell r="J65">
            <v>356392</v>
          </cell>
          <cell r="K65">
            <v>262798.79675605602</v>
          </cell>
          <cell r="L65">
            <v>0.73738691316319205</v>
          </cell>
          <cell r="R65">
            <v>357440.00010690396</v>
          </cell>
          <cell r="S65">
            <v>263571.57831988059</v>
          </cell>
          <cell r="T65">
            <v>20696</v>
          </cell>
          <cell r="U65">
            <v>284267.57831988059</v>
          </cell>
          <cell r="V65">
            <v>0.79528753982447742</v>
          </cell>
          <cell r="X65">
            <v>23169</v>
          </cell>
          <cell r="Y65">
            <v>307436.57831988059</v>
          </cell>
          <cell r="Z65">
            <v>0.86010681017214574</v>
          </cell>
          <cell r="AA65">
            <v>651.55163861520009</v>
          </cell>
        </row>
        <row r="66">
          <cell r="B66" t="str">
            <v>Lanús</v>
          </cell>
          <cell r="D66">
            <v>463555</v>
          </cell>
          <cell r="F66">
            <v>462895.00000000012</v>
          </cell>
          <cell r="G66">
            <v>260007.27920095786</v>
          </cell>
          <cell r="H66">
            <v>0.56169818036694674</v>
          </cell>
          <cell r="J66">
            <v>462827</v>
          </cell>
          <cell r="K66">
            <v>262075.77002944599</v>
          </cell>
          <cell r="L66">
            <v>0.56624995955172497</v>
          </cell>
          <cell r="R66">
            <v>462759.99993011495</v>
          </cell>
          <cell r="S66">
            <v>262037.83124258366</v>
          </cell>
          <cell r="T66">
            <v>57100</v>
          </cell>
          <cell r="U66">
            <v>319137.83124258369</v>
          </cell>
          <cell r="V66">
            <v>0.68964005378766358</v>
          </cell>
          <cell r="X66">
            <v>42474</v>
          </cell>
          <cell r="Y66">
            <v>361611.83124258369</v>
          </cell>
          <cell r="Z66">
            <v>0.78142413194138116</v>
          </cell>
          <cell r="AA66">
            <v>1588.8393308929612</v>
          </cell>
        </row>
        <row r="67">
          <cell r="B67" t="str">
            <v>Quilmes</v>
          </cell>
          <cell r="D67">
            <v>586462</v>
          </cell>
          <cell r="F67">
            <v>657123.00000000221</v>
          </cell>
          <cell r="G67">
            <v>513045.18940869317</v>
          </cell>
          <cell r="H67">
            <v>0.7807445324675768</v>
          </cell>
          <cell r="J67">
            <v>664783</v>
          </cell>
          <cell r="K67">
            <v>520406.35435032501</v>
          </cell>
          <cell r="L67">
            <v>0.78282139337246104</v>
          </cell>
          <cell r="R67">
            <v>672198.99984012998</v>
          </cell>
          <cell r="S67">
            <v>526211.75767842552</v>
          </cell>
          <cell r="T67">
            <v>1231</v>
          </cell>
          <cell r="U67">
            <v>527442.75767842552</v>
          </cell>
          <cell r="V67">
            <v>0.78465269630551071</v>
          </cell>
          <cell r="X67">
            <v>49289</v>
          </cell>
          <cell r="Y67">
            <v>576731.75767842552</v>
          </cell>
          <cell r="Z67">
            <v>0.85797770870767498</v>
          </cell>
          <cell r="AA67">
            <v>925.87369999818759</v>
          </cell>
        </row>
        <row r="68">
          <cell r="B68" t="str">
            <v>Región Sudeste</v>
          </cell>
          <cell r="D68">
            <v>1395769</v>
          </cell>
          <cell r="F68">
            <v>1475370.0000000028</v>
          </cell>
          <cell r="G68">
            <v>1018682.2723070993</v>
          </cell>
          <cell r="H68">
            <v>0.69045884917484923</v>
          </cell>
          <cell r="J68">
            <v>1484002</v>
          </cell>
          <cell r="K68">
            <v>1045280.92113583</v>
          </cell>
          <cell r="L68">
            <v>0.70436624825022298</v>
          </cell>
          <cell r="R68">
            <v>1492398.9998771488</v>
          </cell>
          <cell r="S68">
            <v>1051821.1672408897</v>
          </cell>
          <cell r="T68">
            <v>79027</v>
          </cell>
          <cell r="U68">
            <v>1130848.1672408897</v>
          </cell>
          <cell r="V68">
            <v>0.75773849173979535</v>
          </cell>
          <cell r="X68">
            <v>114932</v>
          </cell>
          <cell r="Y68">
            <v>1245780.1672408897</v>
          </cell>
          <cell r="Z68">
            <v>0.83475006840894417</v>
          </cell>
          <cell r="AA68">
            <v>3166.2646695063486</v>
          </cell>
        </row>
        <row r="69">
          <cell r="B69" t="str">
            <v>Almirante Brown</v>
          </cell>
          <cell r="D69">
            <v>557025</v>
          </cell>
          <cell r="F69">
            <v>594270.00000000256</v>
          </cell>
          <cell r="G69">
            <v>209963.13106234104</v>
          </cell>
          <cell r="H69">
            <v>0.35331268794039766</v>
          </cell>
          <cell r="J69">
            <v>597969.00000000198</v>
          </cell>
          <cell r="K69">
            <v>217529.64106637999</v>
          </cell>
          <cell r="L69">
            <v>0.36378079978457001</v>
          </cell>
          <cell r="R69">
            <v>601618.00011232507</v>
          </cell>
          <cell r="S69">
            <v>218857.07724565562</v>
          </cell>
          <cell r="T69">
            <v>4672</v>
          </cell>
          <cell r="U69">
            <v>223529.07724565562</v>
          </cell>
          <cell r="V69">
            <v>0.37154652487778228</v>
          </cell>
          <cell r="X69">
            <v>80065</v>
          </cell>
          <cell r="Y69">
            <v>303594.07724565559</v>
          </cell>
          <cell r="Z69">
            <v>0.50462931160466118</v>
          </cell>
          <cell r="AA69">
            <v>3044.1284102509926</v>
          </cell>
        </row>
        <row r="70">
          <cell r="B70" t="str">
            <v>Esteban Echeverría</v>
          </cell>
          <cell r="D70">
            <v>300785</v>
          </cell>
          <cell r="F70">
            <v>364641.00000000146</v>
          </cell>
          <cell r="G70">
            <v>168390.59189121865</v>
          </cell>
          <cell r="H70">
            <v>0.46179829446282228</v>
          </cell>
          <cell r="J70">
            <v>370900.00000000099</v>
          </cell>
          <cell r="K70">
            <v>182503.491530495</v>
          </cell>
          <cell r="L70">
            <v>0.49205578735641697</v>
          </cell>
          <cell r="R70">
            <v>377237.00000356504</v>
          </cell>
          <cell r="S70">
            <v>185621.6490567268</v>
          </cell>
          <cell r="T70">
            <v>22490</v>
          </cell>
          <cell r="U70">
            <v>208111.6490567268</v>
          </cell>
          <cell r="V70">
            <v>0.55167348127240978</v>
          </cell>
          <cell r="X70">
            <v>36690</v>
          </cell>
          <cell r="Y70">
            <v>244801.6490567268</v>
          </cell>
          <cell r="Z70">
            <v>0.64893329406822053</v>
          </cell>
          <cell r="AA70">
            <v>1005.2760611343001</v>
          </cell>
        </row>
        <row r="71">
          <cell r="B71" t="str">
            <v>Ezeiza</v>
          </cell>
          <cell r="D71">
            <v>163287</v>
          </cell>
          <cell r="F71">
            <v>213864.00000000003</v>
          </cell>
          <cell r="G71">
            <v>62055.621819250773</v>
          </cell>
          <cell r="H71">
            <v>0.29016394446587906</v>
          </cell>
          <cell r="J71">
            <v>219031</v>
          </cell>
          <cell r="K71">
            <v>64504.6006601872</v>
          </cell>
          <cell r="L71">
            <v>0.29449986832999597</v>
          </cell>
          <cell r="R71">
            <v>224227.99996975801</v>
          </cell>
          <cell r="S71">
            <v>66035.116466991924</v>
          </cell>
          <cell r="T71">
            <v>7936</v>
          </cell>
          <cell r="U71">
            <v>73971.116466991924</v>
          </cell>
          <cell r="V71">
            <v>0.3298924152067027</v>
          </cell>
          <cell r="X71">
            <v>9361</v>
          </cell>
          <cell r="Y71">
            <v>83332.116466991924</v>
          </cell>
          <cell r="Z71">
            <v>0.37164010060398817</v>
          </cell>
          <cell r="AA71">
            <v>728.64218136964189</v>
          </cell>
        </row>
        <row r="72">
          <cell r="B72" t="str">
            <v>Lomas de Zamora</v>
          </cell>
          <cell r="D72">
            <v>621440</v>
          </cell>
          <cell r="F72">
            <v>645879.9999999979</v>
          </cell>
          <cell r="G72">
            <v>244843.8538233772</v>
          </cell>
          <cell r="H72">
            <v>0.37908567198764165</v>
          </cell>
          <cell r="J72">
            <v>648311.99999999895</v>
          </cell>
          <cell r="K72">
            <v>250778.565602471</v>
          </cell>
          <cell r="L72">
            <v>0.38681771369721901</v>
          </cell>
          <cell r="R72">
            <v>650678.00005760009</v>
          </cell>
          <cell r="S72">
            <v>251693.77633535932</v>
          </cell>
          <cell r="T72">
            <v>21370</v>
          </cell>
          <cell r="U72">
            <v>273063.77633535932</v>
          </cell>
          <cell r="V72">
            <v>0.41966037934460187</v>
          </cell>
          <cell r="X72">
            <v>145244</v>
          </cell>
          <cell r="Y72">
            <v>418307.77633535932</v>
          </cell>
          <cell r="Z72">
            <v>0.64287985193648689</v>
          </cell>
          <cell r="AA72">
            <v>4913.9979208112754</v>
          </cell>
        </row>
        <row r="73">
          <cell r="B73" t="str">
            <v>Región Sudoeste</v>
          </cell>
          <cell r="D73">
            <v>1642537</v>
          </cell>
          <cell r="F73">
            <v>1818655.0000000019</v>
          </cell>
          <cell r="G73">
            <v>685253.19859618763</v>
          </cell>
          <cell r="H73">
            <v>0.37679119931828026</v>
          </cell>
          <cell r="J73">
            <v>1836212</v>
          </cell>
          <cell r="K73">
            <v>715316.29885953397</v>
          </cell>
          <cell r="L73">
            <v>0.38956084529429802</v>
          </cell>
          <cell r="R73">
            <v>1853761.0001432481</v>
          </cell>
          <cell r="S73">
            <v>722207.61910473369</v>
          </cell>
          <cell r="T73">
            <v>56468</v>
          </cell>
          <cell r="U73">
            <v>778675.61910473369</v>
          </cell>
          <cell r="V73">
            <v>0.42005178609570598</v>
          </cell>
          <cell r="X73">
            <v>271360</v>
          </cell>
          <cell r="Y73">
            <v>1050035.6191047337</v>
          </cell>
          <cell r="Z73">
            <v>0.56643527349188649</v>
          </cell>
          <cell r="AA73">
            <v>9692.0445735662106</v>
          </cell>
        </row>
        <row r="74">
          <cell r="B74" t="str">
            <v>Total Concesión</v>
          </cell>
          <cell r="D74">
            <v>10390843</v>
          </cell>
          <cell r="F74">
            <v>11249529.000000009</v>
          </cell>
          <cell r="G74">
            <v>7855750.0192656899</v>
          </cell>
          <cell r="H74">
            <v>0.69831812685363837</v>
          </cell>
          <cell r="J74">
            <v>11337275</v>
          </cell>
          <cell r="K74">
            <v>7973450.0994313899</v>
          </cell>
          <cell r="L74">
            <v>0.70329511275252699</v>
          </cell>
          <cell r="R74">
            <v>11423450.998614607</v>
          </cell>
          <cell r="S74">
            <v>8019706.110227487</v>
          </cell>
          <cell r="T74">
            <v>209770</v>
          </cell>
          <cell r="U74">
            <v>8229476.110227487</v>
          </cell>
          <cell r="V74">
            <v>0.72040192681051696</v>
          </cell>
          <cell r="X74">
            <v>945624</v>
          </cell>
          <cell r="Y74">
            <v>9175100.110227488</v>
          </cell>
          <cell r="Z74">
            <v>0.80318111500108058</v>
          </cell>
          <cell r="AA74">
            <v>29717.104262598048</v>
          </cell>
        </row>
        <row r="76">
          <cell r="B76" t="str">
            <v>San Miguel</v>
          </cell>
          <cell r="D76">
            <v>278019</v>
          </cell>
          <cell r="F76">
            <v>301739.99999999948</v>
          </cell>
          <cell r="G76">
            <v>138495.07786141257</v>
          </cell>
          <cell r="H76">
            <v>0.45898812839336123</v>
          </cell>
          <cell r="J76">
            <v>304122</v>
          </cell>
          <cell r="K76">
            <v>139587.92763803899</v>
          </cell>
          <cell r="L76">
            <v>0.45898812839336123</v>
          </cell>
          <cell r="R76">
            <v>306469.00009958405</v>
          </cell>
          <cell r="S76">
            <v>140665.16927155189</v>
          </cell>
          <cell r="T76">
            <v>0</v>
          </cell>
          <cell r="U76">
            <v>140665.16927155189</v>
          </cell>
          <cell r="V76">
            <v>0.45898661602264551</v>
          </cell>
          <cell r="X76">
            <v>72065</v>
          </cell>
          <cell r="Y76">
            <v>212730.16927155189</v>
          </cell>
          <cell r="Z76">
            <v>0.6941327481814713</v>
          </cell>
          <cell r="AA76">
            <v>1779.4433983161455</v>
          </cell>
        </row>
        <row r="77">
          <cell r="B77" t="str">
            <v>José C. Paz</v>
          </cell>
          <cell r="D77">
            <v>267275</v>
          </cell>
          <cell r="F77">
            <v>303896.00000000041</v>
          </cell>
          <cell r="G77">
            <v>0</v>
          </cell>
          <cell r="H77">
            <v>0</v>
          </cell>
          <cell r="J77">
            <v>307443</v>
          </cell>
          <cell r="K77">
            <v>0</v>
          </cell>
          <cell r="L77">
            <v>0</v>
          </cell>
          <cell r="R77">
            <v>311187.00011455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B78" t="str">
            <v>Malvinas Argentinas</v>
          </cell>
          <cell r="D78">
            <v>324358</v>
          </cell>
          <cell r="F78">
            <v>356643.00000000006</v>
          </cell>
          <cell r="G78">
            <v>0</v>
          </cell>
          <cell r="H78">
            <v>0</v>
          </cell>
          <cell r="J78">
            <v>359953</v>
          </cell>
          <cell r="K78">
            <v>0</v>
          </cell>
          <cell r="L78">
            <v>0</v>
          </cell>
          <cell r="R78">
            <v>363262.99997318198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X78">
            <v>11664</v>
          </cell>
          <cell r="Y78">
            <v>11664</v>
          </cell>
          <cell r="Z78">
            <v>3.2108967885144092E-2</v>
          </cell>
          <cell r="AA78">
            <v>359.44752110629997</v>
          </cell>
        </row>
        <row r="79">
          <cell r="B79" t="str">
            <v>Escobar</v>
          </cell>
          <cell r="D79">
            <v>215256</v>
          </cell>
          <cell r="F79">
            <v>251244.99999999936</v>
          </cell>
          <cell r="G79">
            <v>18378.445060915732</v>
          </cell>
          <cell r="H79">
            <v>7.3149495754804186E-2</v>
          </cell>
          <cell r="J79">
            <v>255073</v>
          </cell>
          <cell r="K79">
            <v>18658.6179154124</v>
          </cell>
          <cell r="L79">
            <v>7.3149495754804186E-2</v>
          </cell>
          <cell r="R79">
            <v>258804.99994931999</v>
          </cell>
          <cell r="S79">
            <v>18931.614120870057</v>
          </cell>
          <cell r="T79">
            <v>13055</v>
          </cell>
          <cell r="U79">
            <v>31986.614120870057</v>
          </cell>
          <cell r="V79">
            <v>0.12359349366176765</v>
          </cell>
          <cell r="X79">
            <v>9590</v>
          </cell>
          <cell r="Y79">
            <v>41576.614120870057</v>
          </cell>
          <cell r="Z79">
            <v>0.16064841919210107</v>
          </cell>
          <cell r="AA79">
            <v>590.05824795909086</v>
          </cell>
        </row>
        <row r="80">
          <cell r="B80" t="str">
            <v>Pilar</v>
          </cell>
          <cell r="D80">
            <v>299549</v>
          </cell>
          <cell r="F80">
            <v>370798.00000000017</v>
          </cell>
          <cell r="G80">
            <v>62402.750969505141</v>
          </cell>
          <cell r="H80">
            <v>0.16829311638548511</v>
          </cell>
          <cell r="J80">
            <v>378167.00000000099</v>
          </cell>
          <cell r="K80">
            <v>63652.958747984601</v>
          </cell>
          <cell r="L80">
            <v>0.16829311638548511</v>
          </cell>
          <cell r="R80">
            <v>385426.00006804604</v>
          </cell>
          <cell r="S80">
            <v>64874.791514680132</v>
          </cell>
          <cell r="T80">
            <v>0</v>
          </cell>
          <cell r="U80">
            <v>64874.791514680132</v>
          </cell>
          <cell r="V80">
            <v>0.16831970729329793</v>
          </cell>
          <cell r="X80">
            <v>0</v>
          </cell>
          <cell r="Y80">
            <v>64874.791514680132</v>
          </cell>
          <cell r="Z80">
            <v>0.16831970729329793</v>
          </cell>
          <cell r="AA80">
            <v>0</v>
          </cell>
        </row>
        <row r="81">
          <cell r="B81" t="str">
            <v>Región Norte (nuevo)</v>
          </cell>
          <cell r="D81">
            <v>1384457</v>
          </cell>
          <cell r="F81">
            <v>1584321.9999999995</v>
          </cell>
          <cell r="G81">
            <v>219276.27389183344</v>
          </cell>
          <cell r="H81">
            <v>0.13840385596604321</v>
          </cell>
          <cell r="J81">
            <v>1604758</v>
          </cell>
          <cell r="K81">
            <v>221899.50430143601</v>
          </cell>
          <cell r="L81">
            <v>0.13840385596604321</v>
          </cell>
          <cell r="R81">
            <v>1625150.0002046824</v>
          </cell>
          <cell r="S81">
            <v>224471.5749071021</v>
          </cell>
          <cell r="T81">
            <v>13055</v>
          </cell>
          <cell r="U81">
            <v>237526.5749071021</v>
          </cell>
          <cell r="V81">
            <v>0.14615670853594215</v>
          </cell>
          <cell r="X81">
            <v>93319</v>
          </cell>
          <cell r="Y81">
            <v>330845.5749071021</v>
          </cell>
          <cell r="Z81">
            <v>0.20357848498011455</v>
          </cell>
          <cell r="AA81">
            <v>2728.949167381536</v>
          </cell>
        </row>
        <row r="82">
          <cell r="B82" t="str">
            <v>Merlo</v>
          </cell>
          <cell r="D82">
            <v>531609</v>
          </cell>
          <cell r="F82">
            <v>599118.99999999884</v>
          </cell>
          <cell r="G82">
            <v>144264.48324584053</v>
          </cell>
          <cell r="H82">
            <v>0.24079437181234581</v>
          </cell>
          <cell r="J82">
            <v>606413.00000000105</v>
          </cell>
          <cell r="K82">
            <v>147696.024711771</v>
          </cell>
          <cell r="L82">
            <v>0.24079437181234581</v>
          </cell>
          <cell r="R82">
            <v>613508.99991057301</v>
          </cell>
          <cell r="S82">
            <v>149424.30391776873</v>
          </cell>
          <cell r="T82">
            <v>0</v>
          </cell>
          <cell r="U82">
            <v>149424.30391776873</v>
          </cell>
          <cell r="V82">
            <v>0.2435568246587243</v>
          </cell>
          <cell r="X82">
            <v>8824</v>
          </cell>
          <cell r="Y82">
            <v>158248.30391776873</v>
          </cell>
          <cell r="Z82">
            <v>0.25793966175041522</v>
          </cell>
          <cell r="AA82">
            <v>139.48117261519999</v>
          </cell>
        </row>
        <row r="83">
          <cell r="B83" t="str">
            <v>Moreno</v>
          </cell>
          <cell r="D83">
            <v>454416</v>
          </cell>
          <cell r="F83">
            <v>533291.9999999993</v>
          </cell>
          <cell r="G83">
            <v>158934.98427128905</v>
          </cell>
          <cell r="H83">
            <v>0.29802619253858909</v>
          </cell>
          <cell r="J83">
            <v>541690.99999999895</v>
          </cell>
          <cell r="K83">
            <v>175188.669485669</v>
          </cell>
          <cell r="L83">
            <v>0.29802619253858909</v>
          </cell>
          <cell r="R83">
            <v>549929.99986339197</v>
          </cell>
          <cell r="S83">
            <v>177853.2502595055</v>
          </cell>
          <cell r="T83">
            <v>11794</v>
          </cell>
          <cell r="U83">
            <v>189647.2502595055</v>
          </cell>
          <cell r="V83">
            <v>0.34485707327590009</v>
          </cell>
          <cell r="X83">
            <v>45193</v>
          </cell>
          <cell r="Y83">
            <v>234840.2502595055</v>
          </cell>
          <cell r="Z83">
            <v>0.42703662342087562</v>
          </cell>
          <cell r="AA83">
            <v>999.11245902613337</v>
          </cell>
        </row>
        <row r="84">
          <cell r="B84" t="str">
            <v>Región Oeste (nuevo)</v>
          </cell>
          <cell r="D84">
            <v>986025</v>
          </cell>
          <cell r="F84">
            <v>1132410.9999999981</v>
          </cell>
          <cell r="G84">
            <v>303199.46751712961</v>
          </cell>
          <cell r="H84">
            <v>0.2677468406056901</v>
          </cell>
          <cell r="J84">
            <v>1148104</v>
          </cell>
          <cell r="K84">
            <v>322884.69419744099</v>
          </cell>
          <cell r="L84">
            <v>0.2677468406056901</v>
          </cell>
          <cell r="R84">
            <v>1163438.999773965</v>
          </cell>
          <cell r="S84">
            <v>327277.55417727423</v>
          </cell>
          <cell r="T84">
            <v>11794</v>
          </cell>
          <cell r="U84">
            <v>339071.55417727423</v>
          </cell>
          <cell r="V84">
            <v>0.29143904772244156</v>
          </cell>
          <cell r="X84">
            <v>54017</v>
          </cell>
          <cell r="Y84">
            <v>393088.55417727423</v>
          </cell>
          <cell r="Z84">
            <v>0.33786778185503852</v>
          </cell>
          <cell r="AA84">
            <v>1138.5936316413333</v>
          </cell>
        </row>
        <row r="85">
          <cell r="B85" t="str">
            <v>Florencio Varela</v>
          </cell>
          <cell r="D85">
            <v>426738</v>
          </cell>
          <cell r="F85">
            <v>508671.00000000035</v>
          </cell>
          <cell r="G85">
            <v>220284.76694815303</v>
          </cell>
          <cell r="H85">
            <v>0.43305941747839544</v>
          </cell>
          <cell r="J85">
            <v>517082.00000000099</v>
          </cell>
          <cell r="K85">
            <v>224080.01438353301</v>
          </cell>
          <cell r="L85">
            <v>0.43305941747839544</v>
          </cell>
          <cell r="R85">
            <v>525269.99995173595</v>
          </cell>
          <cell r="S85">
            <v>227628.32422018825</v>
          </cell>
          <cell r="T85">
            <v>0</v>
          </cell>
          <cell r="U85">
            <v>227628.32422018825</v>
          </cell>
          <cell r="V85">
            <v>0.43335489222895601</v>
          </cell>
          <cell r="X85">
            <v>0</v>
          </cell>
          <cell r="Y85">
            <v>227628.32422018825</v>
          </cell>
          <cell r="Z85">
            <v>0.43335489222895601</v>
          </cell>
          <cell r="AA85">
            <v>0</v>
          </cell>
        </row>
        <row r="86">
          <cell r="B86" t="str">
            <v>Región Sudeste (nuevo)</v>
          </cell>
          <cell r="D86">
            <v>426738</v>
          </cell>
          <cell r="F86">
            <v>508671.00000000035</v>
          </cell>
          <cell r="G86">
            <v>220284.76694815303</v>
          </cell>
          <cell r="H86">
            <v>0.43305941747839544</v>
          </cell>
          <cell r="J86">
            <v>517082.00000000099</v>
          </cell>
          <cell r="K86">
            <v>224080.01438353301</v>
          </cell>
          <cell r="L86">
            <v>0.43305941747839544</v>
          </cell>
          <cell r="R86">
            <v>525269.99995173595</v>
          </cell>
          <cell r="S86">
            <v>227628.32422018825</v>
          </cell>
          <cell r="T86">
            <v>0</v>
          </cell>
          <cell r="U86">
            <v>227628.32422018825</v>
          </cell>
          <cell r="V86">
            <v>0.43335489222895601</v>
          </cell>
          <cell r="X86">
            <v>0</v>
          </cell>
          <cell r="Y86">
            <v>227628.32422018825</v>
          </cell>
          <cell r="Z86">
            <v>0.43335489222895601</v>
          </cell>
          <cell r="AA86">
            <v>0</v>
          </cell>
        </row>
        <row r="87">
          <cell r="B87" t="str">
            <v>Presidente Perón</v>
          </cell>
          <cell r="D87">
            <v>81166</v>
          </cell>
          <cell r="F87">
            <v>103596.9999999998</v>
          </cell>
          <cell r="G87">
            <v>55422.960879529674</v>
          </cell>
          <cell r="H87">
            <v>0.53498615673745165</v>
          </cell>
          <cell r="J87">
            <v>105918</v>
          </cell>
          <cell r="K87">
            <v>56665.072986225903</v>
          </cell>
          <cell r="L87">
            <v>0.53498615673745165</v>
          </cell>
          <cell r="R87">
            <v>108203.000017194</v>
          </cell>
          <cell r="S87">
            <v>57887.525192157147</v>
          </cell>
          <cell r="T87">
            <v>0</v>
          </cell>
          <cell r="U87">
            <v>57887.525192157147</v>
          </cell>
          <cell r="V87">
            <v>0.53499002045191468</v>
          </cell>
          <cell r="X87">
            <v>7619</v>
          </cell>
          <cell r="Y87">
            <v>65506.525192157147</v>
          </cell>
          <cell r="Z87">
            <v>0.60540396460123869</v>
          </cell>
          <cell r="AA87">
            <v>262.23276699302761</v>
          </cell>
        </row>
        <row r="88">
          <cell r="B88" t="str">
            <v>Región Sudoeste (nuevo)</v>
          </cell>
          <cell r="D88">
            <v>81166</v>
          </cell>
          <cell r="F88">
            <v>103596.9999999998</v>
          </cell>
          <cell r="G88">
            <v>55422.960879529674</v>
          </cell>
          <cell r="H88">
            <v>0.53498615673745165</v>
          </cell>
          <cell r="J88">
            <v>105918</v>
          </cell>
          <cell r="K88">
            <v>56665.072986225903</v>
          </cell>
          <cell r="L88">
            <v>0.53498615673745165</v>
          </cell>
          <cell r="R88">
            <v>108203.000017194</v>
          </cell>
          <cell r="S88">
            <v>57887.525192157147</v>
          </cell>
          <cell r="T88">
            <v>0</v>
          </cell>
          <cell r="U88">
            <v>57887.525192157147</v>
          </cell>
          <cell r="V88">
            <v>0.53499002045191468</v>
          </cell>
          <cell r="X88">
            <v>7619</v>
          </cell>
          <cell r="Y88">
            <v>65506.525192157147</v>
          </cell>
          <cell r="Z88">
            <v>0.60540396460123869</v>
          </cell>
          <cell r="AA88">
            <v>262.23276699302761</v>
          </cell>
        </row>
        <row r="89">
          <cell r="B89" t="str">
            <v>Total Concesión (nuevo)</v>
          </cell>
          <cell r="D89">
            <v>2878386</v>
          </cell>
          <cell r="F89">
            <v>3329000.9999999981</v>
          </cell>
          <cell r="G89">
            <v>798183.46923664573</v>
          </cell>
          <cell r="H89">
            <v>0.23976666550615219</v>
          </cell>
          <cell r="J89">
            <v>3375862</v>
          </cell>
          <cell r="K89">
            <v>825529.28586863598</v>
          </cell>
          <cell r="L89">
            <v>0.23976666550615219</v>
          </cell>
          <cell r="R89">
            <v>3422061.9999475772</v>
          </cell>
          <cell r="S89">
            <v>837264.97849672171</v>
          </cell>
          <cell r="T89">
            <v>24849</v>
          </cell>
          <cell r="U89">
            <v>862113.97849672171</v>
          </cell>
          <cell r="V89">
            <v>0.25192821711293617</v>
          </cell>
          <cell r="X89">
            <v>154955</v>
          </cell>
          <cell r="Y89">
            <v>1017068.9784967217</v>
          </cell>
          <cell r="Z89">
            <v>0.29720939553763265</v>
          </cell>
          <cell r="AA89">
            <v>4129.7755660158964</v>
          </cell>
        </row>
        <row r="91">
          <cell r="B91" t="str">
            <v>Total AySA</v>
          </cell>
          <cell r="D91">
            <v>13269229</v>
          </cell>
          <cell r="F91">
            <v>14578530.000000007</v>
          </cell>
          <cell r="G91">
            <v>8653933.4885023348</v>
          </cell>
          <cell r="H91">
            <v>0.59360809961651351</v>
          </cell>
          <cell r="J91">
            <v>14713137</v>
          </cell>
          <cell r="K91">
            <v>8798979.3853000253</v>
          </cell>
          <cell r="L91">
            <v>0.59803557768136228</v>
          </cell>
          <cell r="R91">
            <v>14845512.998562185</v>
          </cell>
          <cell r="S91">
            <v>8856971.088724209</v>
          </cell>
          <cell r="T91">
            <v>234619</v>
          </cell>
          <cell r="U91">
            <v>9091590.088724209</v>
          </cell>
          <cell r="V91">
            <v>0.61241333254059638</v>
          </cell>
          <cell r="X91">
            <v>1100579</v>
          </cell>
          <cell r="Y91">
            <v>10192169.088724209</v>
          </cell>
          <cell r="Z91">
            <v>0.68654879691333937</v>
          </cell>
          <cell r="AA91">
            <v>33846.879828613943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4E49-2E6A-4ED7-98EC-37F3121F1E61}">
  <dimension ref="A1:R77"/>
  <sheetViews>
    <sheetView tabSelected="1" workbookViewId="0">
      <selection activeCell="S4" sqref="S4"/>
    </sheetView>
  </sheetViews>
  <sheetFormatPr baseColWidth="10" defaultRowHeight="14.5" x14ac:dyDescent="0.35"/>
  <cols>
    <col min="3" max="3" width="9.81640625" customWidth="1"/>
    <col min="4" max="4" width="14.7265625" customWidth="1"/>
    <col min="5" max="5" width="13.81640625" customWidth="1"/>
    <col min="6" max="6" width="12.453125" customWidth="1"/>
    <col min="7" max="7" width="12.1796875" customWidth="1"/>
    <col min="8" max="8" width="12.81640625" customWidth="1"/>
    <col min="18" max="18" width="11.26953125" bestFit="1" customWidth="1"/>
  </cols>
  <sheetData>
    <row r="1" spans="1:18" x14ac:dyDescent="0.35">
      <c r="A1" t="s">
        <v>0</v>
      </c>
      <c r="B1" t="str">
        <f>+'[1]Población y Cobertura'!B7</f>
        <v>Municipio</v>
      </c>
      <c r="C1" t="str">
        <f>+'[1]Población y Cobertura'!D7</f>
        <v>Población Censo 2010</v>
      </c>
      <c r="D1" t="str">
        <f>+'[1]Población y Cobertura'!F7</f>
        <v>Población Total 2019 (CV)</v>
      </c>
      <c r="E1" t="str">
        <f>+'[1]Población y Cobertura'!G7</f>
        <v>Población con Servicio 2019 (CV)</v>
      </c>
      <c r="F1" t="str">
        <f>+'[1]Población y Cobertura'!H7</f>
        <v>Cobertura 2019</v>
      </c>
      <c r="G1" t="str">
        <f>+'[1]Población y Cobertura'!J7</f>
        <v>Población Total 2020 (CV)</v>
      </c>
      <c r="H1" t="str">
        <f>+'[1]Población y Cobertura'!K7</f>
        <v>Población con Servicio 2020 (CV)</v>
      </c>
      <c r="I1" t="str">
        <f>+'[1]Población y Cobertura'!L7</f>
        <v>Cobertura 2020</v>
      </c>
      <c r="J1" t="str">
        <f>+'[1]Población y Cobertura'!R7</f>
        <v>Población Total 2021 (CV)</v>
      </c>
      <c r="K1" t="str">
        <f>+'[1]Población y Cobertura'!S7</f>
        <v>Población con Servicio 2021 (CV)</v>
      </c>
      <c r="L1" t="str">
        <f>+'[1]Población y Cobertura'!T7</f>
        <v>Población Obras Puestas en Servicio 2021</v>
      </c>
      <c r="M1" t="str">
        <f>+'[1]Población y Cobertura'!U7</f>
        <v>Población con Servicio (CV) + Obras 2021</v>
      </c>
      <c r="N1" t="str">
        <f>+'[1]Población y Cobertura'!V7</f>
        <v>Cobertura 2021</v>
      </c>
      <c r="O1" t="str">
        <f>+'[1]Población y Cobertura'!X7</f>
        <v>Población a incorporar Plan de Obras</v>
      </c>
      <c r="P1" t="str">
        <f>+'[1]Población y Cobertura'!Y7</f>
        <v>Población con Servicio Plan de Obras</v>
      </c>
      <c r="Q1" t="str">
        <f>+'[1]Población y Cobertura'!Z7</f>
        <v>Cobertura Plan de Obras</v>
      </c>
      <c r="R1" t="str">
        <f>+'[1]Población y Cobertura'!AA7</f>
        <v>Inversión $ Millones</v>
      </c>
    </row>
    <row r="2" spans="1:18" x14ac:dyDescent="0.35">
      <c r="A2" t="s">
        <v>1</v>
      </c>
      <c r="B2" t="str">
        <f>+'[1]Población y Cobertura'!$B8</f>
        <v>Capital Federal</v>
      </c>
      <c r="C2">
        <f>+'[1]Población y Cobertura'!D8</f>
        <v>3028481</v>
      </c>
      <c r="D2" s="3">
        <f>+'[1]Población y Cobertura'!F8</f>
        <v>3072029.0000000023</v>
      </c>
      <c r="E2" s="3">
        <f>+'[1]Población y Cobertura'!G8</f>
        <v>3072029.0000000023</v>
      </c>
      <c r="F2" s="1">
        <f>+'[1]Población y Cobertura'!H8</f>
        <v>1</v>
      </c>
      <c r="G2" s="3">
        <f>+'[1]Población y Cobertura'!J8</f>
        <v>3075645.9999999902</v>
      </c>
      <c r="H2" s="3">
        <f>+'[1]Población y Cobertura'!K8</f>
        <v>3075645.9999999902</v>
      </c>
      <c r="I2" s="1">
        <f>+'[1]Población y Cobertura'!L8</f>
        <v>1</v>
      </c>
      <c r="J2" s="3">
        <f>+'[1]Población y Cobertura'!R8</f>
        <v>3078835.9987737066</v>
      </c>
      <c r="K2" s="3">
        <f>+'[1]Población y Cobertura'!S8</f>
        <v>3078835.9987736968</v>
      </c>
      <c r="L2" s="3">
        <f>+'[1]Población y Cobertura'!T8</f>
        <v>2770</v>
      </c>
      <c r="M2" s="3">
        <f>+'[1]Población y Cobertura'!U8</f>
        <v>3081605.9987736968</v>
      </c>
      <c r="N2" s="1">
        <f>+'[1]Población y Cobertura'!V8</f>
        <v>1</v>
      </c>
      <c r="O2" s="3">
        <f>+'[1]Población y Cobertura'!X8</f>
        <v>121337</v>
      </c>
      <c r="P2" s="3">
        <f>+'[1]Población y Cobertura'!Y8</f>
        <v>3202942.9987736968</v>
      </c>
      <c r="Q2" s="1">
        <f>+'[1]Población y Cobertura'!Z8</f>
        <v>1</v>
      </c>
      <c r="R2" s="2">
        <f>+'[1]Población y Cobertura'!AA8</f>
        <v>716.72203125999999</v>
      </c>
    </row>
    <row r="3" spans="1:18" x14ac:dyDescent="0.35">
      <c r="A3" t="s">
        <v>1</v>
      </c>
      <c r="B3" t="str">
        <f>+'[1]Población y Cobertura'!$B9</f>
        <v>San Fernando</v>
      </c>
      <c r="C3">
        <f>+'[1]Población y Cobertura'!D9</f>
        <v>164452</v>
      </c>
      <c r="D3" s="3">
        <f>+'[1]Población y Cobertura'!F9</f>
        <v>173904.00000000076</v>
      </c>
      <c r="E3" s="3">
        <f>+'[1]Población y Cobertura'!G9</f>
        <v>164439.59214846959</v>
      </c>
      <c r="F3" s="1">
        <f>+'[1]Población y Cobertura'!H9</f>
        <v>0.94557682484858818</v>
      </c>
      <c r="G3" s="3">
        <f>+'[1]Población y Cobertura'!J9</f>
        <v>174883</v>
      </c>
      <c r="H3" s="3">
        <f>+'[1]Población y Cobertura'!K9</f>
        <v>165365.311859996</v>
      </c>
      <c r="I3" s="1">
        <f>+'[1]Población y Cobertura'!L9</f>
        <v>0.94557682484859018</v>
      </c>
      <c r="J3" s="3">
        <f>+'[1]Población y Cobertura'!R9</f>
        <v>175845.00005144798</v>
      </c>
      <c r="K3" s="3">
        <f>+'[1]Población y Cobertura'!S9</f>
        <v>166274.95681414835</v>
      </c>
      <c r="L3" s="3">
        <f>+'[1]Población y Cobertura'!T9</f>
        <v>0</v>
      </c>
      <c r="M3" s="3">
        <f>+'[1]Población y Cobertura'!U9</f>
        <v>166274.95681414835</v>
      </c>
      <c r="N3" s="1">
        <f>+'[1]Población y Cobertura'!V9</f>
        <v>0.94557682484859018</v>
      </c>
      <c r="O3" s="3">
        <f>+'[1]Población y Cobertura'!X9</f>
        <v>0</v>
      </c>
      <c r="P3" s="3">
        <f>+'[1]Población y Cobertura'!Y9</f>
        <v>166274.95681414835</v>
      </c>
      <c r="Q3" s="1">
        <f>+'[1]Población y Cobertura'!Z9</f>
        <v>0.94557682484859018</v>
      </c>
      <c r="R3" s="2">
        <f>+'[1]Población y Cobertura'!AA9</f>
        <v>0</v>
      </c>
    </row>
    <row r="4" spans="1:18" x14ac:dyDescent="0.35">
      <c r="A4" t="s">
        <v>1</v>
      </c>
      <c r="B4" t="str">
        <f>+'[1]Población y Cobertura'!$B10</f>
        <v>Tigre</v>
      </c>
      <c r="C4">
        <f>+'[1]Población y Cobertura'!D10</f>
        <v>376515</v>
      </c>
      <c r="D4" s="3">
        <f>+'[1]Población y Cobertura'!F10</f>
        <v>455056.0000000014</v>
      </c>
      <c r="E4" s="3">
        <f>+'[1]Población y Cobertura'!G10</f>
        <v>270879.87493725435</v>
      </c>
      <c r="F4" s="1">
        <f>+'[1]Población y Cobertura'!H10</f>
        <v>0.59526712083183941</v>
      </c>
      <c r="G4" s="3">
        <f>+'[1]Población y Cobertura'!J10</f>
        <v>462998</v>
      </c>
      <c r="H4" s="3">
        <f>+'[1]Población y Cobertura'!K10</f>
        <v>282210.93981913099</v>
      </c>
      <c r="I4" s="1">
        <f>+'[1]Población y Cobertura'!L10</f>
        <v>0.6095295008167011</v>
      </c>
      <c r="J4" s="3">
        <f>+'[1]Población y Cobertura'!R10</f>
        <v>470776.00014072005</v>
      </c>
      <c r="K4" s="3">
        <f>+'[1]Población y Cobertura'!S10</f>
        <v>286951.8603622563</v>
      </c>
      <c r="L4" s="3">
        <f>+'[1]Población y Cobertura'!T10</f>
        <v>15583</v>
      </c>
      <c r="M4" s="3">
        <f>+'[1]Población y Cobertura'!U10</f>
        <v>302534.8603622563</v>
      </c>
      <c r="N4" s="1">
        <f>+'[1]Población y Cobertura'!V10</f>
        <v>0.64263016864034139</v>
      </c>
      <c r="O4" s="3">
        <f>+'[1]Población y Cobertura'!X10</f>
        <v>81517</v>
      </c>
      <c r="P4" s="3">
        <f>+'[1]Población y Cobertura'!Y10</f>
        <v>384051.8603622563</v>
      </c>
      <c r="Q4" s="1">
        <f>+'[1]Población y Cobertura'!Z10</f>
        <v>0.8157847049285839</v>
      </c>
      <c r="R4" s="2">
        <f>+'[1]Población y Cobertura'!AA10</f>
        <v>2644.1111885282153</v>
      </c>
    </row>
    <row r="5" spans="1:18" x14ac:dyDescent="0.35">
      <c r="A5" t="s">
        <v>1</v>
      </c>
      <c r="B5" t="str">
        <f>+'[1]Población y Cobertura'!$B11</f>
        <v>San Isidro</v>
      </c>
      <c r="C5">
        <f>+'[1]Población y Cobertura'!D11</f>
        <v>295894</v>
      </c>
      <c r="D5" s="3">
        <f>+'[1]Población y Cobertura'!F11</f>
        <v>292519.99999999994</v>
      </c>
      <c r="E5" s="3">
        <f>+'[1]Población y Cobertura'!G11</f>
        <v>284430.30855644244</v>
      </c>
      <c r="F5" s="1">
        <f>+'[1]Población y Cobertura'!H11</f>
        <v>0.97234482618775642</v>
      </c>
      <c r="G5" s="3">
        <f>+'[1]Población y Cobertura'!J11</f>
        <v>292224</v>
      </c>
      <c r="H5" s="3">
        <f>+'[1]Población y Cobertura'!K11</f>
        <v>284142.49448789097</v>
      </c>
      <c r="I5" s="1">
        <f>+'[1]Población y Cobertura'!L11</f>
        <v>0.97234482618775653</v>
      </c>
      <c r="J5" s="3">
        <f>+'[1]Población y Cobertura'!R11</f>
        <v>291962.99997927801</v>
      </c>
      <c r="K5" s="3">
        <f>+'[1]Población y Cobertura'!S11</f>
        <v>283888.71246810706</v>
      </c>
      <c r="L5" s="3">
        <f>+'[1]Población y Cobertura'!T11</f>
        <v>0</v>
      </c>
      <c r="M5" s="3">
        <f>+'[1]Población y Cobertura'!U11</f>
        <v>283888.71246810706</v>
      </c>
      <c r="N5" s="1">
        <f>+'[1]Población y Cobertura'!V11</f>
        <v>0.97234482618775653</v>
      </c>
      <c r="O5" s="3">
        <f>+'[1]Población y Cobertura'!X11</f>
        <v>0</v>
      </c>
      <c r="P5" s="3">
        <f>+'[1]Población y Cobertura'!Y11</f>
        <v>283888.71246810706</v>
      </c>
      <c r="Q5" s="1">
        <f>+'[1]Población y Cobertura'!Z11</f>
        <v>0.97234482618775653</v>
      </c>
      <c r="R5" s="2">
        <f>+'[1]Población y Cobertura'!AA11</f>
        <v>0</v>
      </c>
    </row>
    <row r="6" spans="1:18" x14ac:dyDescent="0.35">
      <c r="A6" t="s">
        <v>1</v>
      </c>
      <c r="B6" t="str">
        <f>+'[1]Población y Cobertura'!$B12</f>
        <v>San Martín</v>
      </c>
      <c r="C6">
        <f>+'[1]Población y Cobertura'!D12</f>
        <v>418017</v>
      </c>
      <c r="D6" s="3">
        <f>+'[1]Población y Cobertura'!F12</f>
        <v>424566.99999999802</v>
      </c>
      <c r="E6" s="3">
        <f>+'[1]Población y Cobertura'!G12</f>
        <v>385995.94573187031</v>
      </c>
      <c r="F6" s="1">
        <f>+'[1]Población y Cobertura'!H12</f>
        <v>0.90915202013315233</v>
      </c>
      <c r="G6" s="3">
        <f>+'[1]Población y Cobertura'!J12</f>
        <v>425264.99999999802</v>
      </c>
      <c r="H6" s="3">
        <f>+'[1]Población y Cobertura'!K12</f>
        <v>393878.05693308997</v>
      </c>
      <c r="I6" s="1">
        <f>+'[1]Población y Cobertura'!L12</f>
        <v>0.92619438922340613</v>
      </c>
      <c r="J6" s="3">
        <f>+'[1]Población y Cobertura'!R12</f>
        <v>425910.99981678301</v>
      </c>
      <c r="K6" s="3">
        <f>+'[1]Población y Cobertura'!S12</f>
        <v>394476.37833883375</v>
      </c>
      <c r="L6" s="3">
        <f>+'[1]Población y Cobertura'!T12</f>
        <v>2700</v>
      </c>
      <c r="M6" s="3">
        <f>+'[1]Población y Cobertura'!U12</f>
        <v>397176.37833883375</v>
      </c>
      <c r="N6" s="1">
        <f>+'[1]Población y Cobertura'!V12</f>
        <v>0.93253374181387605</v>
      </c>
      <c r="O6" s="3">
        <f>+'[1]Población y Cobertura'!X12</f>
        <v>12168</v>
      </c>
      <c r="P6" s="3">
        <f>+'[1]Población y Cobertura'!Y12</f>
        <v>409344.37833883375</v>
      </c>
      <c r="Q6" s="1">
        <f>+'[1]Población y Cobertura'!Z12</f>
        <v>0.96110309082161338</v>
      </c>
      <c r="R6" s="2">
        <f>+'[1]Población y Cobertura'!AA12</f>
        <v>189.19042586739999</v>
      </c>
    </row>
    <row r="7" spans="1:18" x14ac:dyDescent="0.35">
      <c r="A7" t="s">
        <v>1</v>
      </c>
      <c r="B7" t="str">
        <f>+'[1]Población y Cobertura'!$B13</f>
        <v>Vicente López</v>
      </c>
      <c r="C7">
        <f>+'[1]Población y Cobertura'!D13</f>
        <v>272389</v>
      </c>
      <c r="D7" s="3">
        <f>+'[1]Población y Cobertura'!F13</f>
        <v>268064.00000000006</v>
      </c>
      <c r="E7" s="3">
        <f>+'[1]Población y Cobertura'!G13</f>
        <v>266643.91199350933</v>
      </c>
      <c r="F7" s="1">
        <f>+'[1]Población y Cobertura'!H13</f>
        <v>0.99470242924640861</v>
      </c>
      <c r="G7" s="3">
        <f>+'[1]Población y Cobertura'!J13</f>
        <v>267655</v>
      </c>
      <c r="H7" s="3">
        <f>+'[1]Población y Cobertura'!K13</f>
        <v>266237.07869994798</v>
      </c>
      <c r="I7" s="1">
        <f>+'[1]Población y Cobertura'!L13</f>
        <v>0.99470242924641039</v>
      </c>
      <c r="J7" s="3">
        <f>+'[1]Población y Cobertura'!R13</f>
        <v>267257.000022922</v>
      </c>
      <c r="K7" s="3">
        <f>+'[1]Población y Cobertura'!S13</f>
        <v>265841.18715590844</v>
      </c>
      <c r="L7" s="3">
        <f>+'[1]Población y Cobertura'!T13</f>
        <v>0</v>
      </c>
      <c r="M7" s="3">
        <f>+'[1]Población y Cobertura'!U13</f>
        <v>265841.18715590844</v>
      </c>
      <c r="N7" s="1">
        <f>+'[1]Población y Cobertura'!V13</f>
        <v>0.99470242924641028</v>
      </c>
      <c r="O7" s="3">
        <f>+'[1]Población y Cobertura'!X13</f>
        <v>0</v>
      </c>
      <c r="P7" s="3">
        <f>+'[1]Población y Cobertura'!Y13</f>
        <v>265841.18715590844</v>
      </c>
      <c r="Q7" s="1">
        <f>+'[1]Población y Cobertura'!Z13</f>
        <v>0.99470242924641028</v>
      </c>
      <c r="R7" s="2">
        <f>+'[1]Población y Cobertura'!AA13</f>
        <v>0</v>
      </c>
    </row>
    <row r="8" spans="1:18" x14ac:dyDescent="0.35">
      <c r="A8" t="s">
        <v>1</v>
      </c>
      <c r="B8" t="str">
        <f>+'[1]Población y Cobertura'!$B14</f>
        <v>Región Norte</v>
      </c>
      <c r="C8">
        <f>+'[1]Población y Cobertura'!D14</f>
        <v>1527267</v>
      </c>
      <c r="D8" s="3">
        <f>+'[1]Población y Cobertura'!F14</f>
        <v>1614111</v>
      </c>
      <c r="E8" s="3">
        <f>+'[1]Población y Cobertura'!G14</f>
        <v>1372389.6333675461</v>
      </c>
      <c r="F8" s="1">
        <f>+'[1]Población y Cobertura'!H14</f>
        <v>0.85024489230762079</v>
      </c>
      <c r="G8" s="3">
        <f>+'[1]Población y Cobertura'!J14</f>
        <v>1623025</v>
      </c>
      <c r="H8" s="3">
        <f>+'[1]Población y Cobertura'!K14</f>
        <v>1391833.8818000499</v>
      </c>
      <c r="I8" s="1">
        <f>+'[1]Población y Cobertura'!L14</f>
        <v>0.85755541769230292</v>
      </c>
      <c r="J8" s="3">
        <f>+'[1]Población y Cobertura'!R14</f>
        <v>1631752.000011151</v>
      </c>
      <c r="K8" s="3">
        <f>+'[1]Población y Cobertura'!S14</f>
        <v>1397433.0951392539</v>
      </c>
      <c r="L8" s="3">
        <f>+'[1]Población y Cobertura'!T14</f>
        <v>18283</v>
      </c>
      <c r="M8" s="3">
        <f>+'[1]Población y Cobertura'!U14</f>
        <v>1415716.0951392539</v>
      </c>
      <c r="N8" s="1">
        <f>+'[1]Población y Cobertura'!V14</f>
        <v>0.86760493943294037</v>
      </c>
      <c r="O8" s="3">
        <f>+'[1]Población y Cobertura'!X14</f>
        <v>93685</v>
      </c>
      <c r="P8" s="3">
        <f>+'[1]Población y Cobertura'!Y14</f>
        <v>1509401.0951392539</v>
      </c>
      <c r="Q8" s="1">
        <f>+'[1]Población y Cobertura'!Z14</f>
        <v>0.9250186885807028</v>
      </c>
      <c r="R8" s="2">
        <f>+'[1]Población y Cobertura'!AA14</f>
        <v>2833.3016143956152</v>
      </c>
    </row>
    <row r="9" spans="1:18" x14ac:dyDescent="0.35">
      <c r="A9" t="s">
        <v>1</v>
      </c>
      <c r="B9" t="str">
        <f>+'[1]Población y Cobertura'!$B15</f>
        <v>La Matanza</v>
      </c>
      <c r="C9">
        <f>+'[1]Población y Cobertura'!D15</f>
        <v>1777530</v>
      </c>
      <c r="D9" s="3">
        <f>+'[1]Población y Cobertura'!F15</f>
        <v>2233860.0000000037</v>
      </c>
      <c r="E9" s="3">
        <f>+'[1]Población y Cobertura'!G15</f>
        <v>1988093.0484886363</v>
      </c>
      <c r="F9" s="1">
        <f>+'[1]Población y Cobertura'!H15</f>
        <v>0.88998104110760434</v>
      </c>
      <c r="G9" s="3">
        <f>+'[1]Población y Cobertura'!J15</f>
        <v>2281194</v>
      </c>
      <c r="H9" s="3">
        <f>+'[1]Población y Cobertura'!K15</f>
        <v>2030659.6003071701</v>
      </c>
      <c r="I9" s="1">
        <f>+'[1]Población y Cobertura'!L15</f>
        <v>0.89017400550201786</v>
      </c>
      <c r="J9" s="3">
        <f>+'[1]Población y Cobertura'!R15</f>
        <v>2327873.9997795601</v>
      </c>
      <c r="K9" s="3">
        <f>+'[1]Población y Cobertura'!S15</f>
        <v>2072212.9226877743</v>
      </c>
      <c r="L9" s="3">
        <f>+'[1]Población y Cobertura'!T15</f>
        <v>24959</v>
      </c>
      <c r="M9" s="3">
        <f>+'[1]Población y Cobertura'!U15</f>
        <v>2097171.9226877745</v>
      </c>
      <c r="N9" s="1">
        <f>+'[1]Población y Cobertura'!V15</f>
        <v>0.9008958057379256</v>
      </c>
      <c r="O9" s="3">
        <f>+'[1]Población y Cobertura'!X15</f>
        <v>14036</v>
      </c>
      <c r="P9" s="3">
        <f>+'[1]Población y Cobertura'!Y15</f>
        <v>2111207.9226877745</v>
      </c>
      <c r="Q9" s="1">
        <f>+'[1]Población y Cobertura'!Z15</f>
        <v>0.90692534170135364</v>
      </c>
      <c r="R9" s="2">
        <f>+'[1]Población y Cobertura'!AA15</f>
        <v>56.597073450000003</v>
      </c>
    </row>
    <row r="10" spans="1:18" x14ac:dyDescent="0.35">
      <c r="A10" t="s">
        <v>1</v>
      </c>
      <c r="B10" t="str">
        <f>+'[1]Población y Cobertura'!$B16</f>
        <v>Hurlingham</v>
      </c>
      <c r="C10">
        <f>+'[1]Población y Cobertura'!D16</f>
        <v>182604</v>
      </c>
      <c r="D10" s="3">
        <f>+'[1]Población y Cobertura'!F16</f>
        <v>192553.99999999927</v>
      </c>
      <c r="E10" s="3">
        <f>+'[1]Población y Cobertura'!G16</f>
        <v>59593.419399355764</v>
      </c>
      <c r="F10" s="1">
        <f>+'[1]Población y Cobertura'!H16</f>
        <v>0.30948938686994809</v>
      </c>
      <c r="G10" s="3">
        <f>+'[1]Población y Cobertura'!J16</f>
        <v>193583</v>
      </c>
      <c r="H10" s="3">
        <f>+'[1]Población y Cobertura'!K16</f>
        <v>62915.2170872489</v>
      </c>
      <c r="I10" s="1">
        <f>+'[1]Población y Cobertura'!L16</f>
        <v>0.32500383343190725</v>
      </c>
      <c r="J10" s="3">
        <f>+'[1]Población y Cobertura'!R16</f>
        <v>194596.99995716399</v>
      </c>
      <c r="K10" s="3">
        <f>+'[1]Población y Cobertura'!S16</f>
        <v>63244.770960426998</v>
      </c>
      <c r="L10" s="3">
        <f>+'[1]Población y Cobertura'!T16</f>
        <v>0</v>
      </c>
      <c r="M10" s="3">
        <f>+'[1]Población y Cobertura'!U16</f>
        <v>63244.770960426998</v>
      </c>
      <c r="N10" s="1">
        <f>+'[1]Población y Cobertura'!V16</f>
        <v>0.32500383343190731</v>
      </c>
      <c r="O10" s="3">
        <f>+'[1]Población y Cobertura'!X16</f>
        <v>19862</v>
      </c>
      <c r="P10" s="3">
        <f>+'[1]Población y Cobertura'!Y16</f>
        <v>83106.770960427006</v>
      </c>
      <c r="Q10" s="1">
        <f>+'[1]Población y Cobertura'!Z16</f>
        <v>0.42707118289963891</v>
      </c>
      <c r="R10" s="2">
        <f>+'[1]Población y Cobertura'!AA16</f>
        <v>238.90705322409386</v>
      </c>
    </row>
    <row r="11" spans="1:18" x14ac:dyDescent="0.35">
      <c r="A11" t="s">
        <v>1</v>
      </c>
      <c r="B11" t="str">
        <f>+'[1]Población y Cobertura'!$B17</f>
        <v>Ituzaingó</v>
      </c>
      <c r="C11">
        <f>+'[1]Población y Cobertura'!D17</f>
        <v>169038</v>
      </c>
      <c r="D11" s="3">
        <f>+'[1]Población y Cobertura'!F17</f>
        <v>179801</v>
      </c>
      <c r="E11" s="3">
        <f>+'[1]Población y Cobertura'!G17</f>
        <v>16994.288722062494</v>
      </c>
      <c r="F11" s="1">
        <f>+'[1]Población y Cobertura'!H17</f>
        <v>9.4517209148238857E-2</v>
      </c>
      <c r="G11" s="3">
        <f>+'[1]Población y Cobertura'!J17</f>
        <v>180914</v>
      </c>
      <c r="H11" s="3">
        <f>+'[1]Población y Cobertura'!K17</f>
        <v>17099.486375844499</v>
      </c>
      <c r="I11" s="1">
        <f>+'[1]Población y Cobertura'!L17</f>
        <v>9.451720914823894E-2</v>
      </c>
      <c r="J11" s="3">
        <f>+'[1]Población y Cobertura'!R17</f>
        <v>182010.999983166</v>
      </c>
      <c r="K11" s="3">
        <f>+'[1]Población y Cobertura'!S17</f>
        <v>17203.171752689017</v>
      </c>
      <c r="L11" s="3">
        <f>+'[1]Población y Cobertura'!T17</f>
        <v>31627</v>
      </c>
      <c r="M11" s="3">
        <f>+'[1]Población y Cobertura'!U17</f>
        <v>48830.171752689013</v>
      </c>
      <c r="N11" s="1">
        <f>+'[1]Población y Cobertura'!V17</f>
        <v>0.26828143220577472</v>
      </c>
      <c r="O11" s="3">
        <f>+'[1]Población y Cobertura'!X17</f>
        <v>30138</v>
      </c>
      <c r="P11" s="3">
        <f>+'[1]Población y Cobertura'!Y17</f>
        <v>78968.171752689013</v>
      </c>
      <c r="Q11" s="1">
        <f>+'[1]Población y Cobertura'!Z17</f>
        <v>0.43386483102665607</v>
      </c>
      <c r="R11" s="2">
        <f>+'[1]Población y Cobertura'!AA17</f>
        <v>338.98363597519995</v>
      </c>
    </row>
    <row r="12" spans="1:18" x14ac:dyDescent="0.35">
      <c r="A12" t="s">
        <v>1</v>
      </c>
      <c r="B12" t="str">
        <f>+'[1]Población y Cobertura'!$B18</f>
        <v>Morón</v>
      </c>
      <c r="C12">
        <f>+'[1]Población y Cobertura'!D18</f>
        <v>324279</v>
      </c>
      <c r="D12" s="3">
        <f>+'[1]Población y Cobertura'!F18</f>
        <v>319138.00000000006</v>
      </c>
      <c r="E12" s="3">
        <f>+'[1]Población y Cobertura'!G18</f>
        <v>284429.12590084469</v>
      </c>
      <c r="F12" s="1">
        <f>+'[1]Población y Cobertura'!H18</f>
        <v>0.89124180104169559</v>
      </c>
      <c r="G12" s="3">
        <f>+'[1]Población y Cobertura'!J18</f>
        <v>318632</v>
      </c>
      <c r="H12" s="3">
        <f>+'[1]Población y Cobertura'!K18</f>
        <v>283978.15754951799</v>
      </c>
      <c r="I12" s="1">
        <f>+'[1]Población y Cobertura'!L18</f>
        <v>0.89124180104169692</v>
      </c>
      <c r="J12" s="3">
        <f>+'[1]Población y Cobertura'!R18</f>
        <v>318104.00015792402</v>
      </c>
      <c r="K12" s="3">
        <f>+'[1]Población y Cobertura'!S18</f>
        <v>283507.58201931644</v>
      </c>
      <c r="L12" s="3">
        <f>+'[1]Población y Cobertura'!T18</f>
        <v>12500</v>
      </c>
      <c r="M12" s="3">
        <f>+'[1]Población y Cobertura'!U18</f>
        <v>296007.58201931644</v>
      </c>
      <c r="N12" s="1">
        <f>+'[1]Población y Cobertura'!V18</f>
        <v>0.93053712582162529</v>
      </c>
      <c r="O12" s="3">
        <f>+'[1]Población y Cobertura'!X18</f>
        <v>3281</v>
      </c>
      <c r="P12" s="3">
        <f>+'[1]Población y Cobertura'!Y18</f>
        <v>299288.58201931644</v>
      </c>
      <c r="Q12" s="1">
        <f>+'[1]Población y Cobertura'!Z18</f>
        <v>0.9408513626698608</v>
      </c>
      <c r="R12" s="2">
        <f>+'[1]Población y Cobertura'!AA18</f>
        <v>44.244821549999998</v>
      </c>
    </row>
    <row r="13" spans="1:18" x14ac:dyDescent="0.35">
      <c r="A13" t="s">
        <v>1</v>
      </c>
      <c r="B13" t="str">
        <f>+'[1]Población y Cobertura'!$B19</f>
        <v>Tres de Febrero</v>
      </c>
      <c r="C13">
        <f>+'[1]Población y Cobertura'!D19</f>
        <v>343338</v>
      </c>
      <c r="D13" s="3">
        <f>+'[1]Población y Cobertura'!F19</f>
        <v>344010.99999999884</v>
      </c>
      <c r="E13" s="3">
        <f>+'[1]Población y Cobertura'!G19</f>
        <v>311283.97504791094</v>
      </c>
      <c r="F13" s="1">
        <f>+'[1]Población y Cobertura'!H19</f>
        <v>0.90486634162254109</v>
      </c>
      <c r="G13" s="3">
        <f>+'[1]Población y Cobertura'!J19</f>
        <v>344066.99999999802</v>
      </c>
      <c r="H13" s="3">
        <f>+'[1]Población y Cobertura'!K19</f>
        <v>315919.36153294903</v>
      </c>
      <c r="I13" s="1">
        <f>+'[1]Población y Cobertura'!L19</f>
        <v>0.9181914032236479</v>
      </c>
      <c r="J13" s="3">
        <f>+'[1]Población y Cobertura'!R19</f>
        <v>344116.99993153801</v>
      </c>
      <c r="K13" s="3">
        <f>+'[1]Población y Cobertura'!S19</f>
        <v>315965.27104024898</v>
      </c>
      <c r="L13" s="3">
        <f>+'[1]Población y Cobertura'!T19</f>
        <v>0</v>
      </c>
      <c r="M13" s="3">
        <f>+'[1]Población y Cobertura'!U19</f>
        <v>315965.27104024898</v>
      </c>
      <c r="N13" s="1">
        <f>+'[1]Población y Cobertura'!V19</f>
        <v>0.91819140322364245</v>
      </c>
      <c r="O13" s="3">
        <f>+'[1]Población y Cobertura'!X19</f>
        <v>3884</v>
      </c>
      <c r="P13" s="3">
        <f>+'[1]Población y Cobertura'!Y19</f>
        <v>319849.27104024898</v>
      </c>
      <c r="Q13" s="1">
        <f>+'[1]Población y Cobertura'!Z19</f>
        <v>0.92947826205587902</v>
      </c>
      <c r="R13" s="2">
        <f>+'[1]Población y Cobertura'!AA19</f>
        <v>10.390196060000001</v>
      </c>
    </row>
    <row r="14" spans="1:18" x14ac:dyDescent="0.35">
      <c r="A14" t="s">
        <v>1</v>
      </c>
      <c r="B14" t="str">
        <f>+'[1]Población y Cobertura'!$B20</f>
        <v>Región Oeste</v>
      </c>
      <c r="C14">
        <f>+'[1]Población y Cobertura'!D20</f>
        <v>2796789</v>
      </c>
      <c r="D14" s="3">
        <f>+'[1]Población y Cobertura'!F20</f>
        <v>3269364.0000000019</v>
      </c>
      <c r="E14" s="3">
        <f>+'[1]Población y Cobertura'!G20</f>
        <v>2660393.8575588102</v>
      </c>
      <c r="F14" s="1">
        <f>+'[1]Población y Cobertura'!H20</f>
        <v>0.81373437083139366</v>
      </c>
      <c r="G14" s="3">
        <f>+'[1]Población y Cobertura'!J20</f>
        <v>3318390</v>
      </c>
      <c r="H14" s="3">
        <f>+'[1]Población y Cobertura'!K20</f>
        <v>2710571.8228527298</v>
      </c>
      <c r="I14" s="1">
        <f>+'[1]Población y Cobertura'!L20</f>
        <v>0.81683341103750007</v>
      </c>
      <c r="J14" s="3">
        <f>+'[1]Población y Cobertura'!R20</f>
        <v>3366702.9998093517</v>
      </c>
      <c r="K14" s="3">
        <f>+'[1]Población y Cobertura'!S20</f>
        <v>2752133.718460456</v>
      </c>
      <c r="L14" s="3">
        <f>+'[1]Población y Cobertura'!T20</f>
        <v>69086</v>
      </c>
      <c r="M14" s="3">
        <f>+'[1]Población y Cobertura'!U20</f>
        <v>2821219.718460456</v>
      </c>
      <c r="N14" s="1">
        <f>+'[1]Población y Cobertura'!V20</f>
        <v>0.83797701152142468</v>
      </c>
      <c r="O14" s="3">
        <f>+'[1]Población y Cobertura'!X20</f>
        <v>71201</v>
      </c>
      <c r="P14" s="3">
        <f>+'[1]Población y Cobertura'!Y20</f>
        <v>2892420.718460456</v>
      </c>
      <c r="Q14" s="1">
        <f>+'[1]Población y Cobertura'!Z20</f>
        <v>0.85912559516662057</v>
      </c>
      <c r="R14" s="2">
        <f>+'[1]Población y Cobertura'!AA20</f>
        <v>689.12278025929379</v>
      </c>
    </row>
    <row r="15" spans="1:18" x14ac:dyDescent="0.35">
      <c r="A15" t="s">
        <v>1</v>
      </c>
      <c r="B15" t="str">
        <f>+'[1]Población y Cobertura'!$B21</f>
        <v>Avellaneda</v>
      </c>
      <c r="C15">
        <f>+'[1]Población y Cobertura'!D21</f>
        <v>345752</v>
      </c>
      <c r="D15" s="3">
        <f>+'[1]Población y Cobertura'!F21</f>
        <v>355352.00000000064</v>
      </c>
      <c r="E15" s="3">
        <f>+'[1]Población y Cobertura'!G21</f>
        <v>336317.78171637532</v>
      </c>
      <c r="F15" s="1">
        <f>+'[1]Población y Cobertura'!H21</f>
        <v>0.94643559545570233</v>
      </c>
      <c r="G15" s="3">
        <f>+'[1]Población y Cobertura'!J21</f>
        <v>356392</v>
      </c>
      <c r="H15" s="3">
        <f>+'[1]Población y Cobertura'!K21</f>
        <v>337302.07473564899</v>
      </c>
      <c r="I15" s="1">
        <f>+'[1]Población y Cobertura'!L21</f>
        <v>0.94643559545570322</v>
      </c>
      <c r="J15" s="3">
        <f>+'[1]Población y Cobertura'!R21</f>
        <v>357440.00010690396</v>
      </c>
      <c r="K15" s="3">
        <f>+'[1]Población y Cobertura'!S21</f>
        <v>338293.93934086425</v>
      </c>
      <c r="L15" s="3">
        <f>+'[1]Población y Cobertura'!T21</f>
        <v>0</v>
      </c>
      <c r="M15" s="3">
        <f>+'[1]Población y Cobertura'!U21</f>
        <v>338293.93934086425</v>
      </c>
      <c r="N15" s="1">
        <f>+'[1]Población y Cobertura'!V21</f>
        <v>0.94643559545570322</v>
      </c>
      <c r="O15" s="3">
        <f>+'[1]Población y Cobertura'!X21</f>
        <v>4936</v>
      </c>
      <c r="P15" s="3">
        <f>+'[1]Población y Cobertura'!Y21</f>
        <v>343229.93934086425</v>
      </c>
      <c r="Q15" s="1">
        <f>+'[1]Población y Cobertura'!Z21</f>
        <v>0.96024490610510926</v>
      </c>
      <c r="R15" s="2">
        <f>+'[1]Población y Cobertura'!AA21</f>
        <v>41.091685299999995</v>
      </c>
    </row>
    <row r="16" spans="1:18" x14ac:dyDescent="0.35">
      <c r="A16" t="s">
        <v>1</v>
      </c>
      <c r="B16" t="str">
        <f>+'[1]Población y Cobertura'!$B22</f>
        <v>Lanús</v>
      </c>
      <c r="C16">
        <f>+'[1]Población y Cobertura'!D22</f>
        <v>463555</v>
      </c>
      <c r="D16" s="3">
        <f>+'[1]Población y Cobertura'!F22</f>
        <v>462895.00000000012</v>
      </c>
      <c r="E16" s="3">
        <f>+'[1]Población y Cobertura'!G22</f>
        <v>457041.34619408712</v>
      </c>
      <c r="F16" s="1">
        <f>+'[1]Población y Cobertura'!H22</f>
        <v>0.98735425138333099</v>
      </c>
      <c r="G16" s="3">
        <f>+'[1]Población y Cobertura'!J22</f>
        <v>462827</v>
      </c>
      <c r="H16" s="3">
        <f>+'[1]Población y Cobertura'!K22</f>
        <v>456974.20610499301</v>
      </c>
      <c r="I16" s="1">
        <f>+'[1]Población y Cobertura'!L22</f>
        <v>0.98735425138333111</v>
      </c>
      <c r="J16" s="3">
        <f>+'[1]Población y Cobertura'!R22</f>
        <v>462759.99993011495</v>
      </c>
      <c r="K16" s="3">
        <f>+'[1]Población y Cobertura'!S22</f>
        <v>456908.05330114911</v>
      </c>
      <c r="L16" s="3">
        <f>+'[1]Población y Cobertura'!T22</f>
        <v>0</v>
      </c>
      <c r="M16" s="3">
        <f>+'[1]Población y Cobertura'!U22</f>
        <v>456908.05330114911</v>
      </c>
      <c r="N16" s="1">
        <f>+'[1]Población y Cobertura'!V22</f>
        <v>0.98735425138333133</v>
      </c>
      <c r="O16" s="3">
        <f>+'[1]Población y Cobertura'!X22</f>
        <v>2295</v>
      </c>
      <c r="P16" s="3">
        <f>+'[1]Población y Cobertura'!Y22</f>
        <v>459203.05330114911</v>
      </c>
      <c r="Q16" s="1">
        <f>+'[1]Población y Cobertura'!Z22</f>
        <v>0.99231362557372504</v>
      </c>
      <c r="R16" s="2">
        <f>+'[1]Población y Cobertura'!AA22</f>
        <v>8.9931013250496452</v>
      </c>
    </row>
    <row r="17" spans="1:18" x14ac:dyDescent="0.35">
      <c r="A17" t="s">
        <v>1</v>
      </c>
      <c r="B17" t="str">
        <f>+'[1]Población y Cobertura'!$B23</f>
        <v>Quilmes</v>
      </c>
      <c r="C17">
        <f>+'[1]Población y Cobertura'!D23</f>
        <v>586462</v>
      </c>
      <c r="D17" s="3">
        <f>+'[1]Población y Cobertura'!F23</f>
        <v>657123.00000000221</v>
      </c>
      <c r="E17" s="3">
        <f>+'[1]Población y Cobertura'!G23</f>
        <v>583752.39600008389</v>
      </c>
      <c r="F17" s="1">
        <f>+'[1]Población y Cobertura'!H23</f>
        <v>0.88834570696822657</v>
      </c>
      <c r="G17" s="3">
        <f>+'[1]Población y Cobertura'!J23</f>
        <v>664783</v>
      </c>
      <c r="H17" s="3">
        <f>+'[1]Población y Cobertura'!K23</f>
        <v>590557.12411545904</v>
      </c>
      <c r="I17" s="1">
        <f>+'[1]Población y Cobertura'!L23</f>
        <v>0.88834570696822723</v>
      </c>
      <c r="J17" s="3">
        <f>+'[1]Población y Cobertura'!R23</f>
        <v>672198.99984012998</v>
      </c>
      <c r="K17" s="3">
        <f>+'[1]Población y Cobertura'!S23</f>
        <v>597145.09573631559</v>
      </c>
      <c r="L17" s="3">
        <f>+'[1]Población y Cobertura'!T23</f>
        <v>27772</v>
      </c>
      <c r="M17" s="3">
        <f>+'[1]Población y Cobertura'!U23</f>
        <v>624917.09573631559</v>
      </c>
      <c r="N17" s="1">
        <f>+'[1]Población y Cobertura'!V23</f>
        <v>0.9296608532368249</v>
      </c>
      <c r="O17" s="3">
        <f>+'[1]Población y Cobertura'!X23</f>
        <v>5532</v>
      </c>
      <c r="P17" s="3">
        <f>+'[1]Población y Cobertura'!Y23</f>
        <v>630449.09573631559</v>
      </c>
      <c r="Q17" s="1">
        <f>+'[1]Población y Cobertura'!Z23</f>
        <v>0.93789055902531271</v>
      </c>
      <c r="R17" s="2">
        <f>+'[1]Población y Cobertura'!AA23</f>
        <v>39.919524389999999</v>
      </c>
    </row>
    <row r="18" spans="1:18" x14ac:dyDescent="0.35">
      <c r="A18" t="s">
        <v>1</v>
      </c>
      <c r="B18" t="str">
        <f>+'[1]Población y Cobertura'!$B24</f>
        <v>Región Sudeste</v>
      </c>
      <c r="C18">
        <f>+'[1]Población y Cobertura'!D24</f>
        <v>1395769</v>
      </c>
      <c r="D18" s="3">
        <f>+'[1]Población y Cobertura'!F24</f>
        <v>1475370.0000000028</v>
      </c>
      <c r="E18" s="3">
        <f>+'[1]Población y Cobertura'!G24</f>
        <v>1377111.5239105462</v>
      </c>
      <c r="F18" s="1">
        <f>+'[1]Población y Cobertura'!H24</f>
        <v>0.9334007902495941</v>
      </c>
      <c r="G18" s="3">
        <f>+'[1]Población y Cobertura'!J24</f>
        <v>1484002</v>
      </c>
      <c r="H18" s="3">
        <f>+'[1]Población y Cobertura'!K24</f>
        <v>1384833.4049561</v>
      </c>
      <c r="I18" s="1">
        <f>+'[1]Población y Cobertura'!L24</f>
        <v>0.93317489124414932</v>
      </c>
      <c r="J18" s="3">
        <f>+'[1]Población y Cobertura'!R24</f>
        <v>1492398.9998771488</v>
      </c>
      <c r="K18" s="3">
        <f>+'[1]Población y Cobertura'!S24</f>
        <v>1392347.0883783288</v>
      </c>
      <c r="L18" s="3">
        <f>+'[1]Población y Cobertura'!T24</f>
        <v>27772</v>
      </c>
      <c r="M18" s="3">
        <f>+'[1]Población y Cobertura'!U24</f>
        <v>1420119.0883783288</v>
      </c>
      <c r="N18" s="1">
        <f>+'[1]Población y Cobertura'!V24</f>
        <v>0.95156797109568558</v>
      </c>
      <c r="O18" s="3">
        <f>+'[1]Población y Cobertura'!X24</f>
        <v>12763</v>
      </c>
      <c r="P18" s="3">
        <f>+'[1]Población y Cobertura'!Y24</f>
        <v>1432882.0883783288</v>
      </c>
      <c r="Q18" s="1">
        <f>+'[1]Población y Cobertura'!Z24</f>
        <v>0.96011997361046253</v>
      </c>
      <c r="R18" s="2">
        <f>+'[1]Población y Cobertura'!AA24</f>
        <v>90.004311015049637</v>
      </c>
    </row>
    <row r="19" spans="1:18" x14ac:dyDescent="0.35">
      <c r="A19" t="s">
        <v>1</v>
      </c>
      <c r="B19" t="str">
        <f>+'[1]Población y Cobertura'!$B25</f>
        <v>Almirante Brown</v>
      </c>
      <c r="C19">
        <f>+'[1]Población y Cobertura'!D25</f>
        <v>557025</v>
      </c>
      <c r="D19" s="3">
        <f>+'[1]Población y Cobertura'!F25</f>
        <v>594270.00000000256</v>
      </c>
      <c r="E19" s="3">
        <f>+'[1]Población y Cobertura'!G25</f>
        <v>232936.98354652047</v>
      </c>
      <c r="F19" s="1">
        <f>+'[1]Población y Cobertura'!H25</f>
        <v>0.39197163502535792</v>
      </c>
      <c r="G19" s="3">
        <f>+'[1]Población y Cobertura'!J25</f>
        <v>597969.00000000198</v>
      </c>
      <c r="H19" s="3">
        <f>+'[1]Población y Cobertura'!K25</f>
        <v>244825.647103811</v>
      </c>
      <c r="I19" s="1">
        <f>+'[1]Población y Cobertura'!L25</f>
        <v>0.40942866119114901</v>
      </c>
      <c r="J19" s="3">
        <f>+'[1]Población y Cobertura'!R25</f>
        <v>601618.00011232507</v>
      </c>
      <c r="K19" s="3">
        <f>+'[1]Población y Cobertura'!S25</f>
        <v>246319.6523344866</v>
      </c>
      <c r="L19" s="3">
        <f>+'[1]Población y Cobertura'!T25</f>
        <v>14058</v>
      </c>
      <c r="M19" s="3">
        <f>+'[1]Población y Cobertura'!U25</f>
        <v>260377.6523344866</v>
      </c>
      <c r="N19" s="1">
        <f>+'[1]Población y Cobertura'!V25</f>
        <v>0.43279564821177691</v>
      </c>
      <c r="O19" s="3">
        <f>+'[1]Población y Cobertura'!X25</f>
        <v>16944</v>
      </c>
      <c r="P19" s="3">
        <f>+'[1]Población y Cobertura'!Y25</f>
        <v>277321.6523344866</v>
      </c>
      <c r="Q19" s="1">
        <f>+'[1]Población y Cobertura'!Z25</f>
        <v>0.46095969914914325</v>
      </c>
      <c r="R19" s="2">
        <f>+'[1]Población y Cobertura'!AA25</f>
        <v>49.979769547459995</v>
      </c>
    </row>
    <row r="20" spans="1:18" x14ac:dyDescent="0.35">
      <c r="A20" t="s">
        <v>1</v>
      </c>
      <c r="B20" t="str">
        <f>+'[1]Población y Cobertura'!$B26</f>
        <v>Esteban Echeverría</v>
      </c>
      <c r="C20">
        <f>+'[1]Población y Cobertura'!D26</f>
        <v>300785</v>
      </c>
      <c r="D20" s="3">
        <f>+'[1]Población y Cobertura'!F26</f>
        <v>364641.00000000146</v>
      </c>
      <c r="E20" s="3">
        <f>+'[1]Población y Cobertura'!G26</f>
        <v>185732.5122163679</v>
      </c>
      <c r="F20" s="1">
        <f>+'[1]Población y Cobertura'!H26</f>
        <v>0.50935718204032776</v>
      </c>
      <c r="G20" s="3">
        <f>+'[1]Población y Cobertura'!J26</f>
        <v>370900.00000000099</v>
      </c>
      <c r="H20" s="3">
        <f>+'[1]Población y Cobertura'!K26</f>
        <v>199726.292866998</v>
      </c>
      <c r="I20" s="1">
        <f>+'[1]Población y Cobertura'!L26</f>
        <v>0.53849094868427461</v>
      </c>
      <c r="J20" s="3">
        <f>+'[1]Población y Cobertura'!R26</f>
        <v>377237.00000356504</v>
      </c>
      <c r="K20" s="3">
        <f>+'[1]Población y Cobertura'!S26</f>
        <v>203138.71001072999</v>
      </c>
      <c r="L20" s="3">
        <f>+'[1]Población y Cobertura'!T26</f>
        <v>3245</v>
      </c>
      <c r="M20" s="3">
        <f>+'[1]Población y Cobertura'!U26</f>
        <v>206383.71001072999</v>
      </c>
      <c r="N20" s="1">
        <f>+'[1]Población y Cobertura'!V26</f>
        <v>0.54709296810434704</v>
      </c>
      <c r="O20" s="3">
        <f>+'[1]Población y Cobertura'!X26</f>
        <v>23254</v>
      </c>
      <c r="P20" s="3">
        <f>+'[1]Población y Cobertura'!Y26</f>
        <v>229637.71001072999</v>
      </c>
      <c r="Q20" s="1">
        <f>+'[1]Población y Cobertura'!Z26</f>
        <v>0.60873591405021199</v>
      </c>
      <c r="R20" s="2">
        <f>+'[1]Población y Cobertura'!AA26</f>
        <v>284.1082025595</v>
      </c>
    </row>
    <row r="21" spans="1:18" x14ac:dyDescent="0.35">
      <c r="A21" t="s">
        <v>1</v>
      </c>
      <c r="B21" t="str">
        <f>+'[1]Población y Cobertura'!$B27</f>
        <v>Ezeiza</v>
      </c>
      <c r="C21">
        <f>+'[1]Población y Cobertura'!D27</f>
        <v>163287</v>
      </c>
      <c r="D21" s="3">
        <f>+'[1]Población y Cobertura'!F27</f>
        <v>213864.00000000003</v>
      </c>
      <c r="E21" s="3">
        <f>+'[1]Población y Cobertura'!G27</f>
        <v>83562.911095188232</v>
      </c>
      <c r="F21" s="1">
        <f>+'[1]Población y Cobertura'!H27</f>
        <v>0.39072920685663892</v>
      </c>
      <c r="G21" s="3">
        <f>+'[1]Población y Cobertura'!J27</f>
        <v>219031</v>
      </c>
      <c r="H21" s="3">
        <f>+'[1]Población y Cobertura'!K27</f>
        <v>106165.386870969</v>
      </c>
      <c r="I21" s="1">
        <f>+'[1]Población y Cobertura'!L27</f>
        <v>0.48470484484373899</v>
      </c>
      <c r="J21" s="3">
        <f>+'[1]Población y Cobertura'!R27</f>
        <v>224227.99996975801</v>
      </c>
      <c r="K21" s="3">
        <f>+'[1]Población y Cobertura'!S27</f>
        <v>108684.39793496348</v>
      </c>
      <c r="L21" s="3">
        <f>+'[1]Población y Cobertura'!T27</f>
        <v>19600</v>
      </c>
      <c r="M21" s="3">
        <f>+'[1]Población y Cobertura'!U27</f>
        <v>128284.39793496348</v>
      </c>
      <c r="N21" s="1">
        <f>+'[1]Población y Cobertura'!V27</f>
        <v>0.57211587291625221</v>
      </c>
      <c r="O21" s="3">
        <f>+'[1]Población y Cobertura'!X27</f>
        <v>1528</v>
      </c>
      <c r="P21" s="3">
        <f>+'[1]Población y Cobertura'!Y27</f>
        <v>129812.39793496348</v>
      </c>
      <c r="Q21" s="1">
        <f>+'[1]Población y Cobertura'!Z27</f>
        <v>0.57893036530884401</v>
      </c>
      <c r="R21" s="2">
        <f>+'[1]Población y Cobertura'!AA27</f>
        <v>225.60757895</v>
      </c>
    </row>
    <row r="22" spans="1:18" x14ac:dyDescent="0.35">
      <c r="A22" t="s">
        <v>1</v>
      </c>
      <c r="B22" t="str">
        <f>+'[1]Población y Cobertura'!$B28</f>
        <v>Lomas de Zamora</v>
      </c>
      <c r="C22">
        <f>+'[1]Población y Cobertura'!D28</f>
        <v>621440</v>
      </c>
      <c r="D22" s="3">
        <f>+'[1]Población y Cobertura'!F28</f>
        <v>645879.9999999979</v>
      </c>
      <c r="E22" s="3">
        <f>+'[1]Población y Cobertura'!G28</f>
        <v>593305.59249484877</v>
      </c>
      <c r="F22" s="1">
        <f>+'[1]Población y Cobertura'!H28</f>
        <v>0.91860034757981468</v>
      </c>
      <c r="G22" s="3">
        <f>+'[1]Población y Cobertura'!J28</f>
        <v>648311.99999999895</v>
      </c>
      <c r="H22" s="3">
        <f>+'[1]Población y Cobertura'!K28</f>
        <v>596214.60579299601</v>
      </c>
      <c r="I22" s="1">
        <f>+'[1]Población y Cobertura'!L28</f>
        <v>0.91964147785787853</v>
      </c>
      <c r="J22" s="3">
        <f>+'[1]Población y Cobertura'!R28</f>
        <v>650678.00005760009</v>
      </c>
      <c r="K22" s="3">
        <f>+'[1]Población y Cobertura'!S28</f>
        <v>598390.47758257913</v>
      </c>
      <c r="L22" s="3">
        <f>+'[1]Población y Cobertura'!T28</f>
        <v>0</v>
      </c>
      <c r="M22" s="3">
        <f>+'[1]Población y Cobertura'!U28</f>
        <v>598390.47758257913</v>
      </c>
      <c r="N22" s="1">
        <f>+'[1]Población y Cobertura'!V28</f>
        <v>0.91964147785787698</v>
      </c>
      <c r="O22" s="3">
        <f>+'[1]Población y Cobertura'!X28</f>
        <v>9356</v>
      </c>
      <c r="P22" s="3">
        <f>+'[1]Población y Cobertura'!Y28</f>
        <v>607746.47758257913</v>
      </c>
      <c r="Q22" s="1">
        <f>+'[1]Población y Cobertura'!Z28</f>
        <v>0.93402032576601557</v>
      </c>
      <c r="R22" s="2">
        <f>+'[1]Población y Cobertura'!AA28</f>
        <v>26.642935463786916</v>
      </c>
    </row>
    <row r="23" spans="1:18" x14ac:dyDescent="0.35">
      <c r="A23" t="s">
        <v>1</v>
      </c>
      <c r="B23" t="str">
        <f>+'[1]Población y Cobertura'!$B29</f>
        <v>Región Sudoeste</v>
      </c>
      <c r="C23">
        <f>+'[1]Población y Cobertura'!D29</f>
        <v>1642537</v>
      </c>
      <c r="D23" s="3">
        <f>+'[1]Población y Cobertura'!F29</f>
        <v>1818655.0000000019</v>
      </c>
      <c r="E23" s="3">
        <f>+'[1]Población y Cobertura'!G29</f>
        <v>1095537.9993529255</v>
      </c>
      <c r="F23" s="1">
        <f>+'[1]Población y Cobertura'!H29</f>
        <v>0.60238912787357923</v>
      </c>
      <c r="G23" s="3">
        <f>+'[1]Población y Cobertura'!J29</f>
        <v>1836212</v>
      </c>
      <c r="H23" s="3">
        <f>+'[1]Población y Cobertura'!K29</f>
        <v>1146931.9326347699</v>
      </c>
      <c r="I23" s="1">
        <f>+'[1]Población y Cobertura'!L29</f>
        <v>0.62461847141548466</v>
      </c>
      <c r="J23" s="3">
        <f>+'[1]Población y Cobertura'!R29</f>
        <v>1853761.0001432481</v>
      </c>
      <c r="K23" s="3">
        <f>+'[1]Población y Cobertura'!S29</f>
        <v>1156533.2378627593</v>
      </c>
      <c r="L23" s="3">
        <f>+'[1]Población y Cobertura'!T29</f>
        <v>36903</v>
      </c>
      <c r="M23" s="3">
        <f>+'[1]Población y Cobertura'!U29</f>
        <v>1193436.2378627593</v>
      </c>
      <c r="N23" s="1">
        <f>+'[1]Población y Cobertura'!V29</f>
        <v>0.64379185761839708</v>
      </c>
      <c r="O23" s="3">
        <f>+'[1]Población y Cobertura'!X29</f>
        <v>51082</v>
      </c>
      <c r="P23" s="3">
        <f>+'[1]Población y Cobertura'!Y29</f>
        <v>1244518.2378627593</v>
      </c>
      <c r="Q23" s="1">
        <f>+'[1]Población y Cobertura'!Z29</f>
        <v>0.67134772916605212</v>
      </c>
      <c r="R23" s="2">
        <f>+'[1]Población y Cobertura'!AA29</f>
        <v>586.33848652074698</v>
      </c>
    </row>
    <row r="24" spans="1:18" x14ac:dyDescent="0.35">
      <c r="A24" t="s">
        <v>1</v>
      </c>
      <c r="B24" t="str">
        <f>+'[1]Población y Cobertura'!$B30</f>
        <v>Total Concesión</v>
      </c>
      <c r="C24">
        <f>+'[1]Población y Cobertura'!D30</f>
        <v>10390843</v>
      </c>
      <c r="D24" s="3">
        <f>+'[1]Población y Cobertura'!F30</f>
        <v>11249529.000000009</v>
      </c>
      <c r="E24" s="3">
        <f>+'[1]Población y Cobertura'!G30</f>
        <v>9577462.0141898319</v>
      </c>
      <c r="F24" s="1">
        <f>+'[1]Población y Cobertura'!H30</f>
        <v>0.85136560065668743</v>
      </c>
      <c r="G24" s="3">
        <f>+'[1]Población y Cobertura'!J30</f>
        <v>11337275</v>
      </c>
      <c r="H24" s="3">
        <f>+'[1]Población y Cobertura'!K30</f>
        <v>9709817.0422436409</v>
      </c>
      <c r="I24" s="1">
        <f>+'[1]Población y Cobertura'!L30</f>
        <v>0.85645069403746854</v>
      </c>
      <c r="J24" s="3">
        <f>+'[1]Población y Cobertura'!R30</f>
        <v>11423450.998614607</v>
      </c>
      <c r="K24" s="3">
        <f>+'[1]Población y Cobertura'!S30</f>
        <v>9777283.1386144944</v>
      </c>
      <c r="L24" s="3">
        <f>+'[1]Población y Cobertura'!T30</f>
        <v>154814</v>
      </c>
      <c r="M24" s="3">
        <f>+'[1]Población y Cobertura'!U30</f>
        <v>9932097.1386144944</v>
      </c>
      <c r="N24" s="1">
        <f>+'[1]Población y Cobertura'!V30</f>
        <v>0.86944804506265416</v>
      </c>
      <c r="O24" s="3">
        <f>+'[1]Población y Cobertura'!X30</f>
        <v>350068</v>
      </c>
      <c r="P24" s="3">
        <f>+'[1]Población y Cobertura'!Y30</f>
        <v>10282165.138614494</v>
      </c>
      <c r="Q24" s="1">
        <f>+'[1]Población y Cobertura'!Z30</f>
        <v>0.90009272503217075</v>
      </c>
      <c r="R24" s="2">
        <f>+'[1]Población y Cobertura'!AA30</f>
        <v>4915.489223450706</v>
      </c>
    </row>
    <row r="25" spans="1:18" x14ac:dyDescent="0.35">
      <c r="A25" t="s">
        <v>1</v>
      </c>
      <c r="B25" t="str">
        <f>+'[1]Población y Cobertura'!$B32</f>
        <v>San Miguel</v>
      </c>
      <c r="C25">
        <f>+'[1]Población y Cobertura'!D32</f>
        <v>278019</v>
      </c>
      <c r="D25" s="3">
        <f>+'[1]Población y Cobertura'!F32</f>
        <v>301739.99999999948</v>
      </c>
      <c r="E25" s="3">
        <f>+'[1]Población y Cobertura'!G32</f>
        <v>120523.86800902076</v>
      </c>
      <c r="F25" s="1">
        <f>+'[1]Población y Cobertura'!H32</f>
        <v>0.39942953539146608</v>
      </c>
      <c r="G25" s="3">
        <f>+'[1]Población y Cobertura'!J32</f>
        <v>304122</v>
      </c>
      <c r="H25" s="3">
        <f>+'[1]Población y Cobertura'!K32</f>
        <v>121475.3091623236</v>
      </c>
      <c r="I25" s="1">
        <f>+'[1]Población y Cobertura'!L32</f>
        <v>0.39942953539146658</v>
      </c>
      <c r="J25" s="3">
        <f>+'[1]Población y Cobertura'!R32</f>
        <v>306469.00009958405</v>
      </c>
      <c r="K25" s="3">
        <f>+'[1]Población y Cobertura'!S32</f>
        <v>122412.77032166415</v>
      </c>
      <c r="L25" s="3">
        <f>+'[1]Población y Cobertura'!T32</f>
        <v>0</v>
      </c>
      <c r="M25" s="3">
        <f>+'[1]Población y Cobertura'!U32</f>
        <v>122412.77032166415</v>
      </c>
      <c r="N25" s="1">
        <f>+'[1]Población y Cobertura'!V32</f>
        <v>0.39942953539146647</v>
      </c>
      <c r="O25" s="3">
        <f>+'[1]Población y Cobertura'!X32</f>
        <v>6920</v>
      </c>
      <c r="P25" s="3">
        <f>+'[1]Población y Cobertura'!Y32</f>
        <v>129332.77032166415</v>
      </c>
      <c r="Q25" s="1">
        <f>+'[1]Población y Cobertura'!Z32</f>
        <v>0.42200930691077648</v>
      </c>
      <c r="R25" s="2">
        <f>+'[1]Población y Cobertura'!AA32</f>
        <v>72.525567365499995</v>
      </c>
    </row>
    <row r="26" spans="1:18" x14ac:dyDescent="0.35">
      <c r="A26" t="s">
        <v>1</v>
      </c>
      <c r="B26" t="str">
        <f>+'[1]Población y Cobertura'!$B33</f>
        <v>José C. Paz</v>
      </c>
      <c r="C26">
        <f>+'[1]Población y Cobertura'!D33</f>
        <v>267275</v>
      </c>
      <c r="D26" s="3">
        <f>+'[1]Población y Cobertura'!F33</f>
        <v>303896.00000000041</v>
      </c>
      <c r="E26" s="3">
        <f>+'[1]Población y Cobertura'!G33</f>
        <v>28877.936986250155</v>
      </c>
      <c r="F26" s="1">
        <f>+'[1]Población y Cobertura'!H33</f>
        <v>9.5025722570386301E-2</v>
      </c>
      <c r="G26" s="3">
        <f>+'[1]Población y Cobertura'!J33</f>
        <v>307443</v>
      </c>
      <c r="H26" s="3">
        <f>+'[1]Población y Cobertura'!K33</f>
        <v>29214.993224207261</v>
      </c>
      <c r="I26" s="1">
        <f>+'[1]Población y Cobertura'!L33</f>
        <v>9.5025722570386259E-2</v>
      </c>
      <c r="J26" s="3">
        <f>+'[1]Población y Cobertura'!R33</f>
        <v>311187.00011455</v>
      </c>
      <c r="K26" s="3">
        <f>+'[1]Población y Cobertura'!S33</f>
        <v>29570.769540395984</v>
      </c>
      <c r="L26" s="3">
        <f>+'[1]Población y Cobertura'!T33</f>
        <v>0</v>
      </c>
      <c r="M26" s="3">
        <f>+'[1]Población y Cobertura'!U33</f>
        <v>29570.769540395984</v>
      </c>
      <c r="N26" s="1">
        <f>+'[1]Población y Cobertura'!V33</f>
        <v>9.5025722570386259E-2</v>
      </c>
      <c r="O26" s="3">
        <f>+'[1]Población y Cobertura'!X33</f>
        <v>18195</v>
      </c>
      <c r="P26" s="3">
        <f>+'[1]Población y Cobertura'!Y33</f>
        <v>47765.769540395981</v>
      </c>
      <c r="Q26" s="1">
        <f>+'[1]Población y Cobertura'!Z33</f>
        <v>0.15349538869815604</v>
      </c>
      <c r="R26" s="2">
        <f>+'[1]Población y Cobertura'!AA33</f>
        <v>121.33307464717204</v>
      </c>
    </row>
    <row r="27" spans="1:18" x14ac:dyDescent="0.35">
      <c r="A27" t="s">
        <v>1</v>
      </c>
      <c r="B27" t="str">
        <f>+'[1]Población y Cobertura'!$B34</f>
        <v>Malvinas Argentinas</v>
      </c>
      <c r="C27">
        <f>+'[1]Población y Cobertura'!D34</f>
        <v>324358</v>
      </c>
      <c r="D27" s="3">
        <f>+'[1]Población y Cobertura'!F34</f>
        <v>356643.00000000006</v>
      </c>
      <c r="E27" s="3">
        <f>+'[1]Población y Cobertura'!G34</f>
        <v>47988.109101671616</v>
      </c>
      <c r="F27" s="1">
        <f>+'[1]Población y Cobertura'!H34</f>
        <v>0.13455502870285302</v>
      </c>
      <c r="G27" s="3">
        <f>+'[1]Población y Cobertura'!J34</f>
        <v>359953</v>
      </c>
      <c r="H27" s="3">
        <f>+'[1]Población y Cobertura'!K34</f>
        <v>48433.486246678054</v>
      </c>
      <c r="I27" s="1">
        <f>+'[1]Población y Cobertura'!L34</f>
        <v>0.13455502870285302</v>
      </c>
      <c r="J27" s="3">
        <f>+'[1]Población y Cobertura'!R34</f>
        <v>363262.99997318198</v>
      </c>
      <c r="K27" s="3">
        <f>+'[1]Población y Cobertura'!S34</f>
        <v>48878.863388076003</v>
      </c>
      <c r="L27" s="3">
        <f>+'[1]Población y Cobertura'!T34</f>
        <v>0</v>
      </c>
      <c r="M27" s="3">
        <f>+'[1]Población y Cobertura'!U34</f>
        <v>48878.863388076003</v>
      </c>
      <c r="N27" s="1">
        <f>+'[1]Población y Cobertura'!V34</f>
        <v>0.13455502870285305</v>
      </c>
      <c r="O27" s="3">
        <f>+'[1]Población y Cobertura'!X34</f>
        <v>18738</v>
      </c>
      <c r="P27" s="3">
        <f>+'[1]Población y Cobertura'!Y34</f>
        <v>67616.863388076003</v>
      </c>
      <c r="Q27" s="1">
        <f>+'[1]Población y Cobertura'!Z34</f>
        <v>0.18613749099982063</v>
      </c>
      <c r="R27" s="2">
        <f>+'[1]Población y Cobertura'!AA34</f>
        <v>115.32648679335165</v>
      </c>
    </row>
    <row r="28" spans="1:18" x14ac:dyDescent="0.35">
      <c r="A28" t="s">
        <v>1</v>
      </c>
      <c r="B28" t="str">
        <f>+'[1]Población y Cobertura'!$B35</f>
        <v>Escobar</v>
      </c>
      <c r="C28">
        <f>+'[1]Población y Cobertura'!D35</f>
        <v>215256</v>
      </c>
      <c r="D28" s="3">
        <f>+'[1]Población y Cobertura'!F35</f>
        <v>251244.99999999936</v>
      </c>
      <c r="E28" s="3">
        <f>+'[1]Población y Cobertura'!G35</f>
        <v>38135.651898204829</v>
      </c>
      <c r="F28" s="1">
        <f>+'[1]Población y Cobertura'!H35</f>
        <v>0.15178670977812464</v>
      </c>
      <c r="G28" s="3">
        <f>+'[1]Población y Cobertura'!J35</f>
        <v>255073</v>
      </c>
      <c r="H28" s="3">
        <f>+'[1]Población y Cobertura'!K35</f>
        <v>38716.691442299998</v>
      </c>
      <c r="I28" s="1">
        <f>+'[1]Población y Cobertura'!L35</f>
        <v>0.15178670985286563</v>
      </c>
      <c r="J28" s="3">
        <f>+'[1]Población y Cobertura'!R35</f>
        <v>258804.99994931999</v>
      </c>
      <c r="K28" s="3">
        <f>+'[1]Población y Cobertura'!S35</f>
        <v>39283.159435778347</v>
      </c>
      <c r="L28" s="3">
        <f>+'[1]Población y Cobertura'!T35</f>
        <v>0</v>
      </c>
      <c r="M28" s="3">
        <f>+'[1]Población y Cobertura'!U35</f>
        <v>39283.159435778347</v>
      </c>
      <c r="N28" s="1">
        <f>+'[1]Población y Cobertura'!V35</f>
        <v>0.15178670985286566</v>
      </c>
      <c r="O28" s="3">
        <f>+'[1]Población y Cobertura'!X35</f>
        <v>21472</v>
      </c>
      <c r="P28" s="3">
        <f>+'[1]Población y Cobertura'!Y35</f>
        <v>60755.159435778347</v>
      </c>
      <c r="Q28" s="1">
        <f>+'[1]Población y Cobertura'!Z35</f>
        <v>0.23475264947615238</v>
      </c>
      <c r="R28" s="2">
        <f>+'[1]Población y Cobertura'!AA35</f>
        <v>709.36015242849999</v>
      </c>
    </row>
    <row r="29" spans="1:18" x14ac:dyDescent="0.35">
      <c r="A29" t="s">
        <v>1</v>
      </c>
      <c r="B29" t="str">
        <f>+'[1]Población y Cobertura'!$B36</f>
        <v>Pilar</v>
      </c>
      <c r="C29">
        <f>+'[1]Población y Cobertura'!D36</f>
        <v>299549</v>
      </c>
      <c r="D29" s="3">
        <f>+'[1]Población y Cobertura'!F36</f>
        <v>370798.00000000017</v>
      </c>
      <c r="E29" s="3">
        <f>+'[1]Población y Cobertura'!G36</f>
        <v>101235.43338151694</v>
      </c>
      <c r="F29" s="1">
        <f>+'[1]Población y Cobertura'!H36</f>
        <v>0.27302044072922965</v>
      </c>
      <c r="G29" s="3">
        <f>+'[1]Población y Cobertura'!J36</f>
        <v>378167.00000000099</v>
      </c>
      <c r="H29" s="3">
        <f>+'[1]Población y Cobertura'!K36</f>
        <v>103258.70130304589</v>
      </c>
      <c r="I29" s="1">
        <f>+'[1]Población y Cobertura'!L36</f>
        <v>0.27305053403138196</v>
      </c>
      <c r="J29" s="3">
        <f>+'[1]Población y Cobertura'!R36</f>
        <v>385426.00006804604</v>
      </c>
      <c r="K29" s="3">
        <f>+'[1]Población y Cobertura'!S36</f>
        <v>105240.77514815968</v>
      </c>
      <c r="L29" s="3">
        <f>+'[1]Población y Cobertura'!T36</f>
        <v>0</v>
      </c>
      <c r="M29" s="3">
        <f>+'[1]Población y Cobertura'!U36</f>
        <v>105240.77514815968</v>
      </c>
      <c r="N29" s="1">
        <f>+'[1]Población y Cobertura'!V36</f>
        <v>0.27305053403138263</v>
      </c>
      <c r="O29" s="3">
        <f>+'[1]Población y Cobertura'!X36</f>
        <v>30312</v>
      </c>
      <c r="P29" s="3">
        <f>+'[1]Población y Cobertura'!Y36</f>
        <v>135552.77514815968</v>
      </c>
      <c r="Q29" s="1">
        <f>+'[1]Población y Cobertura'!Z36</f>
        <v>0.3516959808737038</v>
      </c>
      <c r="R29" s="2">
        <f>+'[1]Población y Cobertura'!AA36</f>
        <v>278.12307182770201</v>
      </c>
    </row>
    <row r="30" spans="1:18" x14ac:dyDescent="0.35">
      <c r="A30" t="s">
        <v>1</v>
      </c>
      <c r="B30" t="str">
        <f>+'[1]Población y Cobertura'!$B37</f>
        <v>Región Norte (nuevo)</v>
      </c>
      <c r="C30">
        <f>+'[1]Población y Cobertura'!D37</f>
        <v>1384457</v>
      </c>
      <c r="D30" s="3">
        <f>+'[1]Población y Cobertura'!F37</f>
        <v>1584321.9999999995</v>
      </c>
      <c r="E30" s="3">
        <f>+'[1]Población y Cobertura'!G37</f>
        <v>336760.99937666429</v>
      </c>
      <c r="F30" s="1">
        <f>+'[1]Población y Cobertura'!H37</f>
        <v>0.21255843154148235</v>
      </c>
      <c r="G30" s="3">
        <f>+'[1]Población y Cobertura'!J37</f>
        <v>1604758</v>
      </c>
      <c r="H30" s="3">
        <f>+'[1]Población y Cobertura'!K37</f>
        <v>341099.18137855479</v>
      </c>
      <c r="I30" s="1">
        <f>+'[1]Población y Cobertura'!L37</f>
        <v>0.21255490321815176</v>
      </c>
      <c r="J30" s="3">
        <f>+'[1]Población y Cobertura'!R37</f>
        <v>1625150.0002046824</v>
      </c>
      <c r="K30" s="3">
        <f>+'[1]Población y Cobertura'!S37</f>
        <v>345386.33783407416</v>
      </c>
      <c r="L30" s="3">
        <f>+'[1]Población y Cobertura'!T37</f>
        <v>0</v>
      </c>
      <c r="M30" s="3">
        <f>+'[1]Población y Cobertura'!U37</f>
        <v>345386.33783407416</v>
      </c>
      <c r="N30" s="1">
        <f>+'[1]Población y Cobertura'!V37</f>
        <v>0.21252582087227265</v>
      </c>
      <c r="O30" s="3">
        <f>+'[1]Población y Cobertura'!X37</f>
        <v>95637</v>
      </c>
      <c r="P30" s="3">
        <f>+'[1]Población y Cobertura'!Y37</f>
        <v>441023.33783407416</v>
      </c>
      <c r="Q30" s="1">
        <f>+'[1]Población y Cobertura'!Z37</f>
        <v>0.2713739271935075</v>
      </c>
      <c r="R30" s="2">
        <f>+'[1]Población y Cobertura'!AA37</f>
        <v>1296.6683530622256</v>
      </c>
    </row>
    <row r="31" spans="1:18" x14ac:dyDescent="0.35">
      <c r="A31" t="s">
        <v>1</v>
      </c>
      <c r="B31" t="str">
        <f>+'[1]Población y Cobertura'!$B38</f>
        <v>Merlo</v>
      </c>
      <c r="C31">
        <f>+'[1]Población y Cobertura'!D38</f>
        <v>531609</v>
      </c>
      <c r="D31" s="3">
        <f>+'[1]Población y Cobertura'!F38</f>
        <v>599118.99999999884</v>
      </c>
      <c r="E31" s="3">
        <f>+'[1]Población y Cobertura'!G38</f>
        <v>242065.4482730724</v>
      </c>
      <c r="F31" s="1">
        <f>+'[1]Población y Cobertura'!H38</f>
        <v>0.40403567283473379</v>
      </c>
      <c r="G31" s="3">
        <f>+'[1]Población y Cobertura'!J38</f>
        <v>606413.00000000105</v>
      </c>
      <c r="H31" s="3">
        <f>+'[1]Población y Cobertura'!K38</f>
        <v>245012.48427515998</v>
      </c>
      <c r="I31" s="1">
        <f>+'[1]Población y Cobertura'!L38</f>
        <v>0.40403567251223105</v>
      </c>
      <c r="J31" s="3">
        <f>+'[1]Población y Cobertura'!R38</f>
        <v>613508.99991057301</v>
      </c>
      <c r="K31" s="3">
        <f>+'[1]Población y Cobertura'!S38</f>
        <v>247879.52137117504</v>
      </c>
      <c r="L31" s="3">
        <f>+'[1]Población y Cobertura'!T38</f>
        <v>0</v>
      </c>
      <c r="M31" s="3">
        <f>+'[1]Población y Cobertura'!U38</f>
        <v>247879.52137117504</v>
      </c>
      <c r="N31" s="1">
        <f>+'[1]Población y Cobertura'!V38</f>
        <v>0.40403567251223166</v>
      </c>
      <c r="O31" s="3">
        <f>+'[1]Población y Cobertura'!X38</f>
        <v>9790</v>
      </c>
      <c r="P31" s="3">
        <f>+'[1]Población y Cobertura'!Y38</f>
        <v>257669.52137117504</v>
      </c>
      <c r="Q31" s="1">
        <f>+'[1]Población y Cobertura'!Z38</f>
        <v>0.4199930586327727</v>
      </c>
      <c r="R31" s="2">
        <f>+'[1]Población y Cobertura'!AA38</f>
        <v>184.69444454006097</v>
      </c>
    </row>
    <row r="32" spans="1:18" x14ac:dyDescent="0.35">
      <c r="A32" t="s">
        <v>1</v>
      </c>
      <c r="B32" t="str">
        <f>+'[1]Población y Cobertura'!$B39</f>
        <v>Moreno</v>
      </c>
      <c r="C32">
        <f>+'[1]Población y Cobertura'!D39</f>
        <v>454416</v>
      </c>
      <c r="D32" s="3">
        <f>+'[1]Población y Cobertura'!F39</f>
        <v>533291.9999999993</v>
      </c>
      <c r="E32" s="3">
        <f>+'[1]Población y Cobertura'!G39</f>
        <v>196439.124986796</v>
      </c>
      <c r="F32" s="1">
        <f>+'[1]Población y Cobertura'!H39</f>
        <v>0.36835190662300626</v>
      </c>
      <c r="G32" s="3">
        <f>+'[1]Población y Cobertura'!J39</f>
        <v>541690.99999999895</v>
      </c>
      <c r="H32" s="3">
        <f>+'[1]Población y Cobertura'!K39</f>
        <v>199532.91288449999</v>
      </c>
      <c r="I32" s="1">
        <f>+'[1]Población y Cobertura'!L39</f>
        <v>0.3683519070549453</v>
      </c>
      <c r="J32" s="3">
        <f>+'[1]Población y Cobertura'!R39</f>
        <v>549929.99986339197</v>
      </c>
      <c r="K32" s="3">
        <f>+'[1]Población y Cobertura'!S39</f>
        <v>202567.76419640589</v>
      </c>
      <c r="L32" s="3">
        <f>+'[1]Población y Cobertura'!T39</f>
        <v>0</v>
      </c>
      <c r="M32" s="3">
        <f>+'[1]Población y Cobertura'!U39</f>
        <v>202567.76419640589</v>
      </c>
      <c r="N32" s="1">
        <f>+'[1]Población y Cobertura'!V39</f>
        <v>0.36835190705494464</v>
      </c>
      <c r="O32" s="3">
        <f>+'[1]Población y Cobertura'!X39</f>
        <v>0</v>
      </c>
      <c r="P32" s="3">
        <f>+'[1]Población y Cobertura'!Y39</f>
        <v>202567.76419640589</v>
      </c>
      <c r="Q32" s="1">
        <f>+'[1]Población y Cobertura'!Z39</f>
        <v>0.36835190705494464</v>
      </c>
      <c r="R32" s="2">
        <f>+'[1]Población y Cobertura'!AA39</f>
        <v>0</v>
      </c>
    </row>
    <row r="33" spans="1:18" x14ac:dyDescent="0.35">
      <c r="A33" t="s">
        <v>1</v>
      </c>
      <c r="B33" t="str">
        <f>+'[1]Población y Cobertura'!$B40</f>
        <v>Región Oeste (nuevo)</v>
      </c>
      <c r="C33">
        <f>+'[1]Población y Cobertura'!D40</f>
        <v>986025</v>
      </c>
      <c r="D33" s="3">
        <f>+'[1]Población y Cobertura'!F40</f>
        <v>1132410.9999999981</v>
      </c>
      <c r="E33" s="3">
        <f>+'[1]Población y Cobertura'!G40</f>
        <v>438504.57325986843</v>
      </c>
      <c r="F33" s="1">
        <f>+'[1]Población y Cobertura'!H40</f>
        <v>0.3872309375835003</v>
      </c>
      <c r="G33" s="3">
        <f>+'[1]Población y Cobertura'!J40</f>
        <v>1148104</v>
      </c>
      <c r="H33" s="3">
        <f>+'[1]Población y Cobertura'!K40</f>
        <v>444545.39715966</v>
      </c>
      <c r="I33" s="1">
        <f>+'[1]Población y Cobertura'!L40</f>
        <v>0.38719958920068215</v>
      </c>
      <c r="J33" s="3">
        <f>+'[1]Población y Cobertura'!R40</f>
        <v>1163438.999773965</v>
      </c>
      <c r="K33" s="3">
        <f>+'[1]Población y Cobertura'!S40</f>
        <v>450447.28556758096</v>
      </c>
      <c r="L33" s="3">
        <f>+'[1]Población y Cobertura'!T40</f>
        <v>0</v>
      </c>
      <c r="M33" s="3">
        <f>+'[1]Población y Cobertura'!U40</f>
        <v>450447.28556758096</v>
      </c>
      <c r="N33" s="1">
        <f>+'[1]Población y Cobertura'!V40</f>
        <v>0.38716880356863975</v>
      </c>
      <c r="O33" s="3">
        <f>+'[1]Población y Cobertura'!X40</f>
        <v>9790</v>
      </c>
      <c r="P33" s="3">
        <f>+'[1]Población y Cobertura'!Y40</f>
        <v>460237.28556758096</v>
      </c>
      <c r="Q33" s="1">
        <f>+'[1]Población y Cobertura'!Z40</f>
        <v>0.39558351203371789</v>
      </c>
      <c r="R33" s="2">
        <f>+'[1]Población y Cobertura'!AA40</f>
        <v>184.69444454006097</v>
      </c>
    </row>
    <row r="34" spans="1:18" x14ac:dyDescent="0.35">
      <c r="A34" t="s">
        <v>1</v>
      </c>
      <c r="B34" t="str">
        <f>+'[1]Población y Cobertura'!$B41</f>
        <v>Florencio Varela</v>
      </c>
      <c r="C34">
        <f>+'[1]Población y Cobertura'!D41</f>
        <v>426738</v>
      </c>
      <c r="D34" s="3">
        <f>+'[1]Población y Cobertura'!F41</f>
        <v>508671.00000000035</v>
      </c>
      <c r="E34" s="3">
        <f>+'[1]Población y Cobertura'!G41</f>
        <v>362151.75247810158</v>
      </c>
      <c r="F34" s="1">
        <f>+'[1]Población y Cobertura'!H41</f>
        <v>0.71195675098069544</v>
      </c>
      <c r="G34" s="3">
        <f>+'[1]Población y Cobertura'!J41</f>
        <v>517082.00000000099</v>
      </c>
      <c r="H34" s="3">
        <f>+'[1]Población y Cobertura'!K41</f>
        <v>368140.02222684002</v>
      </c>
      <c r="I34" s="1">
        <f>+'[1]Población y Cobertura'!L41</f>
        <v>0.71195675391299507</v>
      </c>
      <c r="J34" s="3">
        <f>+'[1]Población y Cobertura'!R41</f>
        <v>525269.99995173595</v>
      </c>
      <c r="K34" s="3">
        <f>+'[1]Población y Cobertura'!S41</f>
        <v>373969.5240935178</v>
      </c>
      <c r="L34" s="3">
        <f>+'[1]Población y Cobertura'!T41</f>
        <v>0</v>
      </c>
      <c r="M34" s="3">
        <f>+'[1]Población y Cobertura'!U41</f>
        <v>373969.5240935178</v>
      </c>
      <c r="N34" s="1">
        <f>+'[1]Población y Cobertura'!V41</f>
        <v>0.71195675391299662</v>
      </c>
      <c r="O34" s="3">
        <f>+'[1]Población y Cobertura'!X41</f>
        <v>0</v>
      </c>
      <c r="P34" s="3">
        <f>+'[1]Población y Cobertura'!Y41</f>
        <v>373969.5240935178</v>
      </c>
      <c r="Q34" s="1">
        <f>+'[1]Población y Cobertura'!Z41</f>
        <v>0.71195675391299662</v>
      </c>
      <c r="R34" s="2">
        <f>+'[1]Población y Cobertura'!AA41</f>
        <v>0</v>
      </c>
    </row>
    <row r="35" spans="1:18" x14ac:dyDescent="0.35">
      <c r="A35" t="s">
        <v>1</v>
      </c>
      <c r="B35" t="str">
        <f>+'[1]Población y Cobertura'!$B42</f>
        <v>Región Sudeste (nuevo)</v>
      </c>
      <c r="C35">
        <f>+'[1]Población y Cobertura'!D42</f>
        <v>426738</v>
      </c>
      <c r="D35" s="3">
        <f>+'[1]Población y Cobertura'!F42</f>
        <v>508671.00000000035</v>
      </c>
      <c r="E35" s="3">
        <f>+'[1]Población y Cobertura'!G42</f>
        <v>362151.75247810158</v>
      </c>
      <c r="F35" s="1">
        <f>+'[1]Población y Cobertura'!H42</f>
        <v>0.71195675098069544</v>
      </c>
      <c r="G35" s="3">
        <f>+'[1]Población y Cobertura'!J42</f>
        <v>517082.00000000099</v>
      </c>
      <c r="H35" s="3">
        <f>+'[1]Población y Cobertura'!K42</f>
        <v>368140.02222684002</v>
      </c>
      <c r="I35" s="1">
        <f>+'[1]Población y Cobertura'!L42</f>
        <v>0.71195675391299507</v>
      </c>
      <c r="J35" s="3">
        <f>+'[1]Población y Cobertura'!R42</f>
        <v>525269.99995173595</v>
      </c>
      <c r="K35" s="3">
        <f>+'[1]Población y Cobertura'!S42</f>
        <v>373969.5240935178</v>
      </c>
      <c r="L35" s="3">
        <f>+'[1]Población y Cobertura'!T42</f>
        <v>0</v>
      </c>
      <c r="M35" s="3">
        <f>+'[1]Población y Cobertura'!U42</f>
        <v>373969.5240935178</v>
      </c>
      <c r="N35" s="1">
        <f>+'[1]Población y Cobertura'!V42</f>
        <v>0.71195675391299662</v>
      </c>
      <c r="O35" s="3">
        <f>+'[1]Población y Cobertura'!X42</f>
        <v>0</v>
      </c>
      <c r="P35" s="3">
        <f>+'[1]Población y Cobertura'!Y42</f>
        <v>373969.5240935178</v>
      </c>
      <c r="Q35" s="1">
        <f>+'[1]Población y Cobertura'!Z42</f>
        <v>0.71195675391299662</v>
      </c>
      <c r="R35" s="2">
        <f>+'[1]Población y Cobertura'!AA42</f>
        <v>0</v>
      </c>
    </row>
    <row r="36" spans="1:18" x14ac:dyDescent="0.35">
      <c r="A36" t="s">
        <v>1</v>
      </c>
      <c r="B36" t="str">
        <f>+'[1]Población y Cobertura'!$B43</f>
        <v>Presidente Perón</v>
      </c>
      <c r="C36">
        <f>+'[1]Población y Cobertura'!D43</f>
        <v>81166</v>
      </c>
      <c r="D36" s="3">
        <f>+'[1]Población y Cobertura'!F43</f>
        <v>103596.9999999998</v>
      </c>
      <c r="E36" s="3">
        <f>+'[1]Población y Cobertura'!G43</f>
        <v>60323.30549737563</v>
      </c>
      <c r="F36" s="1">
        <f>+'[1]Población y Cobertura'!H43</f>
        <v>0.58228815021067937</v>
      </c>
      <c r="G36" s="3">
        <f>+'[1]Población y Cobertura'!J43</f>
        <v>105918</v>
      </c>
      <c r="H36" s="3">
        <f>+'[1]Población y Cobertura'!K43</f>
        <v>61674.796443359999</v>
      </c>
      <c r="I36" s="1">
        <f>+'[1]Población y Cobertura'!L43</f>
        <v>0.5822881516206877</v>
      </c>
      <c r="J36" s="3">
        <f>+'[1]Población y Cobertura'!R43</f>
        <v>108203.000017194</v>
      </c>
      <c r="K36" s="3">
        <f>+'[1]Población y Cobertura'!S43</f>
        <v>63005.324879825137</v>
      </c>
      <c r="L36" s="3">
        <f>+'[1]Población y Cobertura'!T43</f>
        <v>0</v>
      </c>
      <c r="M36" s="3">
        <f>+'[1]Población y Cobertura'!U43</f>
        <v>63005.324879825137</v>
      </c>
      <c r="N36" s="1">
        <f>+'[1]Población y Cobertura'!V43</f>
        <v>0.5822881516206877</v>
      </c>
      <c r="O36" s="3">
        <f>+'[1]Población y Cobertura'!X43</f>
        <v>1055</v>
      </c>
      <c r="P36" s="3">
        <f>+'[1]Población y Cobertura'!Y43</f>
        <v>64060.324879825137</v>
      </c>
      <c r="Q36" s="1">
        <f>+'[1]Población y Cobertura'!Z43</f>
        <v>0.59203834338831296</v>
      </c>
      <c r="R36" s="2">
        <f>+'[1]Población y Cobertura'!AA43</f>
        <v>12.222805623739129</v>
      </c>
    </row>
    <row r="37" spans="1:18" x14ac:dyDescent="0.35">
      <c r="A37" t="s">
        <v>1</v>
      </c>
      <c r="B37" t="str">
        <f>+'[1]Población y Cobertura'!$B44</f>
        <v>Región Sudoeste (nuevo)</v>
      </c>
      <c r="C37">
        <f>+'[1]Población y Cobertura'!D44</f>
        <v>81166</v>
      </c>
      <c r="D37" s="3">
        <f>+'[1]Población y Cobertura'!F44</f>
        <v>103596.9999999998</v>
      </c>
      <c r="E37" s="3">
        <f>+'[1]Población y Cobertura'!G44</f>
        <v>60323.30549737563</v>
      </c>
      <c r="F37" s="1">
        <f>+'[1]Población y Cobertura'!H44</f>
        <v>0.58228815021067937</v>
      </c>
      <c r="G37" s="3">
        <f>+'[1]Población y Cobertura'!J44</f>
        <v>105918</v>
      </c>
      <c r="H37" s="3">
        <f>+'[1]Población y Cobertura'!K44</f>
        <v>61674.796443359999</v>
      </c>
      <c r="I37" s="1">
        <f>+'[1]Población y Cobertura'!L44</f>
        <v>0.5822881516206877</v>
      </c>
      <c r="J37" s="3">
        <f>+'[1]Población y Cobertura'!R44</f>
        <v>108203.000017194</v>
      </c>
      <c r="K37" s="3">
        <f>+'[1]Población y Cobertura'!S44</f>
        <v>63005.324879825137</v>
      </c>
      <c r="L37" s="3">
        <f>+'[1]Población y Cobertura'!T44</f>
        <v>0</v>
      </c>
      <c r="M37" s="3">
        <f>+'[1]Población y Cobertura'!U44</f>
        <v>63005.324879825137</v>
      </c>
      <c r="N37" s="1">
        <f>+'[1]Población y Cobertura'!V44</f>
        <v>0.5822881516206877</v>
      </c>
      <c r="O37" s="3">
        <f>+'[1]Población y Cobertura'!X44</f>
        <v>1055</v>
      </c>
      <c r="P37" s="3">
        <f>+'[1]Población y Cobertura'!Y44</f>
        <v>64060.324879825137</v>
      </c>
      <c r="Q37" s="1">
        <f>+'[1]Población y Cobertura'!Z44</f>
        <v>0.59203834338831296</v>
      </c>
      <c r="R37" s="2">
        <f>+'[1]Población y Cobertura'!AA44</f>
        <v>12.222805623739129</v>
      </c>
    </row>
    <row r="38" spans="1:18" x14ac:dyDescent="0.35">
      <c r="A38" t="s">
        <v>1</v>
      </c>
      <c r="B38" t="str">
        <f>+'[1]Población y Cobertura'!$B45</f>
        <v>Total Concesión (nuevo)</v>
      </c>
      <c r="C38">
        <f>+'[1]Población y Cobertura'!D45</f>
        <v>2878386</v>
      </c>
      <c r="D38" s="3">
        <f>+'[1]Población y Cobertura'!F45</f>
        <v>3329000.9999999977</v>
      </c>
      <c r="E38" s="3">
        <f>+'[1]Población y Cobertura'!G45</f>
        <v>1197740.6306120097</v>
      </c>
      <c r="F38" s="1">
        <f>+'[1]Población y Cobertura'!H45</f>
        <v>0.35978980799705695</v>
      </c>
      <c r="G38" s="3">
        <f>+'[1]Población y Cobertura'!J45</f>
        <v>3375862</v>
      </c>
      <c r="H38" s="3">
        <f>+'[1]Población y Cobertura'!K45</f>
        <v>1215459.3972084147</v>
      </c>
      <c r="I38" s="1">
        <f>+'[1]Población y Cobertura'!L45</f>
        <v>0.36004415974598925</v>
      </c>
      <c r="J38" s="3">
        <f>+'[1]Población y Cobertura'!R45</f>
        <v>3422061.9999475772</v>
      </c>
      <c r="K38" s="3">
        <f>+'[1]Población y Cobertura'!S45</f>
        <v>1232808.472374998</v>
      </c>
      <c r="L38" s="3">
        <f>+'[1]Población y Cobertura'!T45</f>
        <v>0</v>
      </c>
      <c r="M38" s="3">
        <f>+'[1]Población y Cobertura'!U45</f>
        <v>1232808.472374998</v>
      </c>
      <c r="N38" s="1">
        <f>+'[1]Población y Cobertura'!V45</f>
        <v>0.36025310832880397</v>
      </c>
      <c r="O38" s="3">
        <f>+'[1]Población y Cobertura'!X45</f>
        <v>106482</v>
      </c>
      <c r="P38" s="3">
        <f>+'[1]Población y Cobertura'!Y45</f>
        <v>1339290.472374998</v>
      </c>
      <c r="Q38" s="1">
        <f>+'[1]Población y Cobertura'!Z45</f>
        <v>0.39136943526900292</v>
      </c>
      <c r="R38" s="2">
        <f>+'[1]Población y Cobertura'!AA45</f>
        <v>1493.5856032260256</v>
      </c>
    </row>
    <row r="39" spans="1:18" x14ac:dyDescent="0.35">
      <c r="A39" t="s">
        <v>1</v>
      </c>
      <c r="B39" t="str">
        <f>+'[1]Población y Cobertura'!$B47</f>
        <v>Total AySA</v>
      </c>
      <c r="C39">
        <f>+'[1]Población y Cobertura'!D47</f>
        <v>13269229</v>
      </c>
      <c r="D39" s="3">
        <f>+'[1]Población y Cobertura'!F47</f>
        <v>14578530.000000007</v>
      </c>
      <c r="E39" s="3">
        <f>+'[1]Población y Cobertura'!G47</f>
        <v>10775202.644801842</v>
      </c>
      <c r="F39" s="1">
        <f>+'[1]Población y Cobertura'!H47</f>
        <v>0.73911448169341054</v>
      </c>
      <c r="G39" s="3">
        <f>+'[1]Población y Cobertura'!J47</f>
        <v>14713137</v>
      </c>
      <c r="H39" s="3">
        <f>+'[1]Población y Cobertura'!K47</f>
        <v>10925276.439452056</v>
      </c>
      <c r="I39" s="1">
        <f>+'[1]Población y Cobertura'!L47</f>
        <v>0.74255248486111802</v>
      </c>
      <c r="J39" s="3">
        <f>+'[1]Población y Cobertura'!R47</f>
        <v>14845512.998562185</v>
      </c>
      <c r="K39" s="3">
        <f>+'[1]Población y Cobertura'!S47</f>
        <v>11010091.610989492</v>
      </c>
      <c r="L39" s="3">
        <f>+'[1]Población y Cobertura'!T47</f>
        <v>154814</v>
      </c>
      <c r="M39" s="3">
        <f>+'[1]Población y Cobertura'!U47</f>
        <v>11164905.610989492</v>
      </c>
      <c r="N39" s="1">
        <f>+'[1]Población y Cobertura'!V47</f>
        <v>0.75207273821193199</v>
      </c>
      <c r="O39" s="3">
        <f>+'[1]Población y Cobertura'!X47</f>
        <v>456550</v>
      </c>
      <c r="P39" s="3">
        <f>+'[1]Población y Cobertura'!Y47</f>
        <v>11621455.610989492</v>
      </c>
      <c r="Q39" s="1">
        <f>+'[1]Población y Cobertura'!Z47</f>
        <v>0.78282613824898151</v>
      </c>
      <c r="R39" s="2">
        <f>+'[1]Población y Cobertura'!AA47</f>
        <v>6409.0748266767314</v>
      </c>
    </row>
    <row r="40" spans="1:18" x14ac:dyDescent="0.35">
      <c r="A40" t="s">
        <v>2</v>
      </c>
      <c r="B40" t="str">
        <f>+'[1]Población y Cobertura'!$B52</f>
        <v>Capital Federal</v>
      </c>
      <c r="C40">
        <f>+'[1]Población y Cobertura'!D52</f>
        <v>3028481</v>
      </c>
      <c r="D40" s="3">
        <f>+'[1]Población y Cobertura'!F52</f>
        <v>3072029.0000000023</v>
      </c>
      <c r="E40" s="3">
        <f>+'[1]Población y Cobertura'!G52</f>
        <v>3072029.0000000023</v>
      </c>
      <c r="F40" s="1">
        <f>+'[1]Población y Cobertura'!H52</f>
        <v>1</v>
      </c>
      <c r="G40" s="3">
        <f>+'[1]Población y Cobertura'!J52</f>
        <v>3075645.9999999902</v>
      </c>
      <c r="H40" s="3">
        <f>+'[1]Población y Cobertura'!K52</f>
        <v>3075645.9999999902</v>
      </c>
      <c r="I40" s="1">
        <f>+'[1]Población y Cobertura'!L52</f>
        <v>1</v>
      </c>
      <c r="J40" s="3">
        <f>+'[1]Población y Cobertura'!R52</f>
        <v>3078835.9987737066</v>
      </c>
      <c r="K40" s="3">
        <f>+'[1]Población y Cobertura'!S52</f>
        <v>3078835.9987736968</v>
      </c>
      <c r="L40" s="3">
        <f>+'[1]Población y Cobertura'!T52</f>
        <v>1790</v>
      </c>
      <c r="M40" s="3">
        <f>+'[1]Población y Cobertura'!U52</f>
        <v>3080625.9987736968</v>
      </c>
      <c r="N40" s="1">
        <f>+'[1]Población y Cobertura'!V52</f>
        <v>1</v>
      </c>
      <c r="O40" s="3">
        <f>+'[1]Población y Cobertura'!X52</f>
        <v>0</v>
      </c>
      <c r="P40" s="3">
        <f>+'[1]Población y Cobertura'!Y52</f>
        <v>3080625.9987736968</v>
      </c>
      <c r="Q40" s="1">
        <f>+'[1]Población y Cobertura'!Z52</f>
        <v>1</v>
      </c>
      <c r="R40" s="2">
        <f>+'[1]Población y Cobertura'!AA52</f>
        <v>143.92164568743001</v>
      </c>
    </row>
    <row r="41" spans="1:18" x14ac:dyDescent="0.35">
      <c r="A41" t="s">
        <v>2</v>
      </c>
      <c r="B41" t="str">
        <f>+'[1]Población y Cobertura'!$B53</f>
        <v>San Fernando</v>
      </c>
      <c r="C41">
        <f>+'[1]Población y Cobertura'!D53</f>
        <v>164452</v>
      </c>
      <c r="D41" s="3">
        <f>+'[1]Población y Cobertura'!F53</f>
        <v>173904.00000000076</v>
      </c>
      <c r="E41" s="3">
        <f>+'[1]Población y Cobertura'!G53</f>
        <v>144953.48673169134</v>
      </c>
      <c r="F41" s="1">
        <f>+'[1]Población y Cobertura'!H53</f>
        <v>0.83352589205360839</v>
      </c>
      <c r="G41" s="3">
        <f>+'[1]Población y Cobertura'!J53</f>
        <v>174883</v>
      </c>
      <c r="H41" s="3">
        <f>+'[1]Población y Cobertura'!K53</f>
        <v>145769.508580011</v>
      </c>
      <c r="I41" s="1">
        <f>+'[1]Población y Cobertura'!L53</f>
        <v>0.83352589205360805</v>
      </c>
      <c r="J41" s="3">
        <f>+'[1]Población y Cobertura'!R53</f>
        <v>175845.00005144798</v>
      </c>
      <c r="K41" s="3">
        <f>+'[1]Población y Cobertura'!S53</f>
        <v>146571.36053104978</v>
      </c>
      <c r="L41" s="3">
        <f>+'[1]Población y Cobertura'!T53</f>
        <v>0</v>
      </c>
      <c r="M41" s="3">
        <f>+'[1]Población y Cobertura'!U53</f>
        <v>146571.36053104978</v>
      </c>
      <c r="N41" s="1">
        <f>+'[1]Población y Cobertura'!V53</f>
        <v>0.83352589205360716</v>
      </c>
      <c r="O41" s="3">
        <f>+'[1]Población y Cobertura'!X53</f>
        <v>1418</v>
      </c>
      <c r="P41" s="3">
        <f>+'[1]Población y Cobertura'!Y53</f>
        <v>147989.36053104978</v>
      </c>
      <c r="Q41" s="1">
        <f>+'[1]Población y Cobertura'!Z53</f>
        <v>0.84158981198073124</v>
      </c>
      <c r="R41" s="2">
        <f>+'[1]Población y Cobertura'!AA53</f>
        <v>8.4269984813080008</v>
      </c>
    </row>
    <row r="42" spans="1:18" x14ac:dyDescent="0.35">
      <c r="A42" t="s">
        <v>2</v>
      </c>
      <c r="B42" t="str">
        <f>+'[1]Población y Cobertura'!$B54</f>
        <v>Tigre</v>
      </c>
      <c r="C42">
        <f>+'[1]Población y Cobertura'!D54</f>
        <v>376515</v>
      </c>
      <c r="D42" s="3">
        <f>+'[1]Población y Cobertura'!F54</f>
        <v>455056.0000000014</v>
      </c>
      <c r="E42" s="3">
        <f>+'[1]Población y Cobertura'!G54</f>
        <v>51945.624689587559</v>
      </c>
      <c r="F42" s="1">
        <f>+'[1]Población y Cobertura'!H54</f>
        <v>0.11415215861253868</v>
      </c>
      <c r="G42" s="3">
        <f>+'[1]Población y Cobertura'!J54</f>
        <v>462998</v>
      </c>
      <c r="H42" s="3">
        <f>+'[1]Población y Cobertura'!K54</f>
        <v>58136.213553244903</v>
      </c>
      <c r="I42" s="1">
        <f>+'[1]Población y Cobertura'!L54</f>
        <v>0.12556471853710999</v>
      </c>
      <c r="J42" s="3">
        <f>+'[1]Población y Cobertura'!R54</f>
        <v>470776.00014072005</v>
      </c>
      <c r="K42" s="3">
        <f>+'[1]Población y Cobertura'!S54</f>
        <v>59112.855951696016</v>
      </c>
      <c r="L42" s="3">
        <f>+'[1]Población y Cobertura'!T54</f>
        <v>12634</v>
      </c>
      <c r="M42" s="3">
        <f>+'[1]Población y Cobertura'!U54</f>
        <v>71746.855951696023</v>
      </c>
      <c r="N42" s="1">
        <f>+'[1]Población y Cobertura'!V54</f>
        <v>0.15240126074874275</v>
      </c>
      <c r="O42" s="3">
        <f>+'[1]Población y Cobertura'!X54</f>
        <v>321887</v>
      </c>
      <c r="P42" s="3">
        <f>+'[1]Población y Cobertura'!Y54</f>
        <v>393633.85595169605</v>
      </c>
      <c r="Q42" s="1">
        <f>+'[1]Población y Cobertura'!Z54</f>
        <v>0.83613832445586567</v>
      </c>
      <c r="R42" s="2">
        <f>+'[1]Población y Cobertura'!AA54</f>
        <v>12189.641932840877</v>
      </c>
    </row>
    <row r="43" spans="1:18" x14ac:dyDescent="0.35">
      <c r="A43" t="s">
        <v>2</v>
      </c>
      <c r="B43" t="str">
        <f>+'[1]Población y Cobertura'!$B55</f>
        <v>San Isidro</v>
      </c>
      <c r="C43">
        <f>+'[1]Población y Cobertura'!D55</f>
        <v>295894</v>
      </c>
      <c r="D43" s="3">
        <f>+'[1]Población y Cobertura'!F55</f>
        <v>292519.99999999994</v>
      </c>
      <c r="E43" s="3">
        <f>+'[1]Población y Cobertura'!G55</f>
        <v>273112.84703305905</v>
      </c>
      <c r="F43" s="1">
        <f>+'[1]Población y Cobertura'!H55</f>
        <v>0.93365529547743442</v>
      </c>
      <c r="G43" s="3">
        <f>+'[1]Población y Cobertura'!J55</f>
        <v>292224</v>
      </c>
      <c r="H43" s="3">
        <f>+'[1]Población y Cobertura'!K55</f>
        <v>272836.48506559798</v>
      </c>
      <c r="I43" s="1">
        <f>+'[1]Población y Cobertura'!L55</f>
        <v>0.93365529547743398</v>
      </c>
      <c r="J43" s="3">
        <f>+'[1]Población y Cobertura'!R55</f>
        <v>291962.99997927801</v>
      </c>
      <c r="K43" s="3">
        <f>+'[1]Población y Cobertura'!S55</f>
        <v>272592.80101413111</v>
      </c>
      <c r="L43" s="3">
        <f>+'[1]Población y Cobertura'!T55</f>
        <v>0</v>
      </c>
      <c r="M43" s="3">
        <f>+'[1]Población y Cobertura'!U55</f>
        <v>272592.80101413111</v>
      </c>
      <c r="N43" s="1">
        <f>+'[1]Población y Cobertura'!V55</f>
        <v>0.93365529547743487</v>
      </c>
      <c r="O43" s="3">
        <f>+'[1]Población y Cobertura'!X55</f>
        <v>0</v>
      </c>
      <c r="P43" s="3">
        <f>+'[1]Población y Cobertura'!Y55</f>
        <v>272592.80101413111</v>
      </c>
      <c r="Q43" s="1">
        <f>+'[1]Población y Cobertura'!Z55</f>
        <v>0.93365529547743487</v>
      </c>
      <c r="R43" s="2">
        <f>+'[1]Población y Cobertura'!AA55</f>
        <v>0</v>
      </c>
    </row>
    <row r="44" spans="1:18" x14ac:dyDescent="0.35">
      <c r="A44" t="s">
        <v>2</v>
      </c>
      <c r="B44" t="str">
        <f>+'[1]Población y Cobertura'!$B56</f>
        <v>San Martín</v>
      </c>
      <c r="C44">
        <f>+'[1]Población y Cobertura'!D56</f>
        <v>418017</v>
      </c>
      <c r="D44" s="3">
        <f>+'[1]Población y Cobertura'!F56</f>
        <v>424566.99999999802</v>
      </c>
      <c r="E44" s="3">
        <f>+'[1]Población y Cobertura'!G56</f>
        <v>317137.63534736476</v>
      </c>
      <c r="F44" s="1">
        <f>+'[1]Población y Cobertura'!H56</f>
        <v>0.74696722860553511</v>
      </c>
      <c r="G44" s="3">
        <f>+'[1]Población y Cobertura'!J56</f>
        <v>425264.99999999802</v>
      </c>
      <c r="H44" s="3">
        <f>+'[1]Población y Cobertura'!K56</f>
        <v>317659.01847293199</v>
      </c>
      <c r="I44" s="1">
        <f>+'[1]Población y Cobertura'!L56</f>
        <v>0.74696722860553499</v>
      </c>
      <c r="J44" s="3">
        <f>+'[1]Población y Cobertura'!R56</f>
        <v>425910.99981678301</v>
      </c>
      <c r="K44" s="3">
        <f>+'[1]Población y Cobertura'!S56</f>
        <v>318141.55916575412</v>
      </c>
      <c r="L44" s="3">
        <f>+'[1]Población y Cobertura'!T56</f>
        <v>15006</v>
      </c>
      <c r="M44" s="3">
        <f>+'[1]Población y Cobertura'!U56</f>
        <v>333147.55916575412</v>
      </c>
      <c r="N44" s="1">
        <f>+'[1]Población y Cobertura'!V56</f>
        <v>0.78219994155836892</v>
      </c>
      <c r="O44" s="3">
        <f>+'[1]Población y Cobertura'!X56</f>
        <v>40162</v>
      </c>
      <c r="P44" s="3">
        <f>+'[1]Población y Cobertura'!Y56</f>
        <v>373309.55916575412</v>
      </c>
      <c r="Q44" s="1">
        <f>+'[1]Población y Cobertura'!Z56</f>
        <v>0.87649663738748984</v>
      </c>
      <c r="R44" s="2">
        <f>+'[1]Población y Cobertura'!AA56</f>
        <v>648.19166630463303</v>
      </c>
    </row>
    <row r="45" spans="1:18" x14ac:dyDescent="0.35">
      <c r="A45" t="s">
        <v>2</v>
      </c>
      <c r="B45" t="str">
        <f>+'[1]Población y Cobertura'!$B57</f>
        <v>Vicente López</v>
      </c>
      <c r="C45">
        <f>+'[1]Población y Cobertura'!D57</f>
        <v>272389</v>
      </c>
      <c r="D45" s="3">
        <f>+'[1]Población y Cobertura'!F57</f>
        <v>268064.00000000006</v>
      </c>
      <c r="E45" s="3">
        <f>+'[1]Población y Cobertura'!G57</f>
        <v>264529.03387434885</v>
      </c>
      <c r="F45" s="1">
        <f>+'[1]Población y Cobertura'!H57</f>
        <v>0.98681297702917514</v>
      </c>
      <c r="G45" s="3">
        <f>+'[1]Población y Cobertura'!J57</f>
        <v>267655</v>
      </c>
      <c r="H45" s="3">
        <f>+'[1]Población y Cobertura'!K57</f>
        <v>264125.42736674403</v>
      </c>
      <c r="I45" s="1">
        <f>+'[1]Población y Cobertura'!L57</f>
        <v>0.98681297702917503</v>
      </c>
      <c r="J45" s="3">
        <f>+'[1]Población y Cobertura'!R57</f>
        <v>267257.000022922</v>
      </c>
      <c r="K45" s="3">
        <f>+'[1]Población y Cobertura'!S57</f>
        <v>263732.67582450615</v>
      </c>
      <c r="L45" s="3">
        <f>+'[1]Población y Cobertura'!T57</f>
        <v>0</v>
      </c>
      <c r="M45" s="3">
        <f>+'[1]Población y Cobertura'!U57</f>
        <v>263732.67582450615</v>
      </c>
      <c r="N45" s="1">
        <f>+'[1]Población y Cobertura'!V57</f>
        <v>0.9868129770291757</v>
      </c>
      <c r="O45" s="3">
        <f>+'[1]Población y Cobertura'!X57</f>
        <v>0</v>
      </c>
      <c r="P45" s="3">
        <f>+'[1]Población y Cobertura'!Y57</f>
        <v>263732.67582450615</v>
      </c>
      <c r="Q45" s="1">
        <f>+'[1]Población y Cobertura'!Z57</f>
        <v>0.9868129770291757</v>
      </c>
      <c r="R45" s="2">
        <f>+'[1]Población y Cobertura'!AA57</f>
        <v>0</v>
      </c>
    </row>
    <row r="46" spans="1:18" x14ac:dyDescent="0.35">
      <c r="A46" t="s">
        <v>2</v>
      </c>
      <c r="B46" t="str">
        <f>+'[1]Población y Cobertura'!$B58</f>
        <v>Región Norte</v>
      </c>
      <c r="C46">
        <f>+'[1]Población y Cobertura'!D58</f>
        <v>1527267</v>
      </c>
      <c r="D46" s="3">
        <f>+'[1]Población y Cobertura'!F58</f>
        <v>1614111</v>
      </c>
      <c r="E46" s="3">
        <f>+'[1]Población y Cobertura'!G58</f>
        <v>1051678.6276760516</v>
      </c>
      <c r="F46" s="1">
        <f>+'[1]Población y Cobertura'!H58</f>
        <v>0.65155285335150526</v>
      </c>
      <c r="G46" s="3">
        <f>+'[1]Población y Cobertura'!J58</f>
        <v>1623025</v>
      </c>
      <c r="H46" s="3">
        <f>+'[1]Población y Cobertura'!K58</f>
        <v>1058526.6530385299</v>
      </c>
      <c r="I46" s="1">
        <f>+'[1]Población y Cobertura'!L58</f>
        <v>0.65219368342356399</v>
      </c>
      <c r="J46" s="3">
        <f>+'[1]Población y Cobertura'!R58</f>
        <v>1631752.000011151</v>
      </c>
      <c r="K46" s="3">
        <f>+'[1]Población y Cobertura'!S58</f>
        <v>1060151.2524871372</v>
      </c>
      <c r="L46" s="3">
        <f>+'[1]Población y Cobertura'!T58</f>
        <v>27640</v>
      </c>
      <c r="M46" s="3">
        <f>+'[1]Población y Cobertura'!U58</f>
        <v>1087791.2524871372</v>
      </c>
      <c r="N46" s="1">
        <f>+'[1]Población y Cobertura'!V58</f>
        <v>0.66664006079337024</v>
      </c>
      <c r="O46" s="3">
        <f>+'[1]Población y Cobertura'!X58</f>
        <v>363467</v>
      </c>
      <c r="P46" s="3">
        <f>+'[1]Población y Cobertura'!Y58</f>
        <v>1451258.2524871372</v>
      </c>
      <c r="Q46" s="1">
        <f>+'[1]Población y Cobertura'!Z58</f>
        <v>0.88938653206934615</v>
      </c>
      <c r="R46" s="2">
        <f>+'[1]Población y Cobertura'!AA58</f>
        <v>12846.260597626817</v>
      </c>
    </row>
    <row r="47" spans="1:18" x14ac:dyDescent="0.35">
      <c r="A47" t="s">
        <v>2</v>
      </c>
      <c r="B47" t="str">
        <f>+'[1]Población y Cobertura'!$B59</f>
        <v>La Matanza</v>
      </c>
      <c r="C47">
        <f>+'[1]Población y Cobertura'!D59</f>
        <v>1777530</v>
      </c>
      <c r="D47" s="3">
        <f>+'[1]Población y Cobertura'!F59</f>
        <v>2233860.0000000037</v>
      </c>
      <c r="E47" s="3">
        <f>+'[1]Población y Cobertura'!G59</f>
        <v>1306336.7666368522</v>
      </c>
      <c r="F47" s="1">
        <f>+'[1]Población y Cobertura'!H59</f>
        <v>0.58478900496756736</v>
      </c>
      <c r="G47" s="3">
        <f>+'[1]Población y Cobertura'!J59</f>
        <v>2281194</v>
      </c>
      <c r="H47" s="3">
        <f>+'[1]Población y Cobertura'!K59</f>
        <v>1339168.5382727699</v>
      </c>
      <c r="I47" s="1">
        <f>+'[1]Población y Cobertura'!L59</f>
        <v>0.58704719470276201</v>
      </c>
      <c r="J47" s="3">
        <f>+'[1]Población y Cobertura'!R59</f>
        <v>2327873.9997795601</v>
      </c>
      <c r="K47" s="3">
        <f>+'[1]Población y Cobertura'!S59</f>
        <v>1366571.9011920861</v>
      </c>
      <c r="L47" s="3">
        <f>+'[1]Población y Cobertura'!T59</f>
        <v>9516</v>
      </c>
      <c r="M47" s="3">
        <f>+'[1]Población y Cobertura'!U59</f>
        <v>1376087.9011920861</v>
      </c>
      <c r="N47" s="1">
        <f>+'[1]Población y Cobertura'!V59</f>
        <v>0.59113504481874701</v>
      </c>
      <c r="O47" s="3">
        <f>+'[1]Población y Cobertura'!X59</f>
        <v>33854</v>
      </c>
      <c r="P47" s="3">
        <f>+'[1]Población y Cobertura'!Y59</f>
        <v>1409941.9011920861</v>
      </c>
      <c r="Q47" s="1">
        <f>+'[1]Población y Cobertura'!Z59</f>
        <v>0.60567792815487509</v>
      </c>
      <c r="R47" s="2">
        <f>+'[1]Población y Cobertura'!AA59</f>
        <v>672.32696205000013</v>
      </c>
    </row>
    <row r="48" spans="1:18" x14ac:dyDescent="0.35">
      <c r="A48" t="s">
        <v>2</v>
      </c>
      <c r="B48" t="str">
        <f>+'[1]Población y Cobertura'!$B60</f>
        <v>Hurlingham</v>
      </c>
      <c r="C48">
        <f>+'[1]Población y Cobertura'!D60</f>
        <v>182604</v>
      </c>
      <c r="D48" s="3">
        <f>+'[1]Población y Cobertura'!F60</f>
        <v>192553.99999999927</v>
      </c>
      <c r="E48" s="3">
        <f>+'[1]Población y Cobertura'!G60</f>
        <v>107692.90328798891</v>
      </c>
      <c r="F48" s="1">
        <f>+'[1]Población y Cobertura'!H60</f>
        <v>0.55928676261199106</v>
      </c>
      <c r="G48" s="3">
        <f>+'[1]Población y Cobertura'!J60</f>
        <v>193583</v>
      </c>
      <c r="H48" s="3">
        <f>+'[1]Población y Cobertura'!K60</f>
        <v>108268.40936671699</v>
      </c>
      <c r="I48" s="1">
        <f>+'[1]Población y Cobertura'!L60</f>
        <v>0.55928676261199095</v>
      </c>
      <c r="J48" s="3">
        <f>+'[1]Población y Cobertura'!R60</f>
        <v>194596.99995716399</v>
      </c>
      <c r="K48" s="3">
        <f>+'[1]Población y Cobertura'!S60</f>
        <v>108835.52612004794</v>
      </c>
      <c r="L48" s="3">
        <f>+'[1]Población y Cobertura'!T60</f>
        <v>27860</v>
      </c>
      <c r="M48" s="3">
        <f>+'[1]Población y Cobertura'!U60</f>
        <v>136695.52612004796</v>
      </c>
      <c r="N48" s="1">
        <f>+'[1]Población y Cobertura'!V60</f>
        <v>0.70245443737641533</v>
      </c>
      <c r="O48" s="3">
        <f>+'[1]Población y Cobertura'!X60</f>
        <v>40285</v>
      </c>
      <c r="P48" s="3">
        <f>+'[1]Población y Cobertura'!Y60</f>
        <v>176980.52612004796</v>
      </c>
      <c r="Q48" s="1">
        <f>+'[1]Población y Cobertura'!Z60</f>
        <v>0.90947201734356697</v>
      </c>
      <c r="R48" s="2">
        <f>+'[1]Población y Cobertura'!AA60</f>
        <v>1076.9492506503059</v>
      </c>
    </row>
    <row r="49" spans="1:18" x14ac:dyDescent="0.35">
      <c r="A49" t="s">
        <v>2</v>
      </c>
      <c r="B49" t="str">
        <f>+'[1]Población y Cobertura'!$B61</f>
        <v>Ituzaingó</v>
      </c>
      <c r="C49">
        <f>+'[1]Población y Cobertura'!D61</f>
        <v>169038</v>
      </c>
      <c r="D49" s="3">
        <f>+'[1]Población y Cobertura'!F61</f>
        <v>179801</v>
      </c>
      <c r="E49" s="3">
        <f>+'[1]Población y Cobertura'!G61</f>
        <v>67932.480661153124</v>
      </c>
      <c r="F49" s="1">
        <f>+'[1]Población y Cobertura'!H61</f>
        <v>0.37782037175073069</v>
      </c>
      <c r="G49" s="3">
        <f>+'[1]Población y Cobertura'!J61</f>
        <v>180914</v>
      </c>
      <c r="H49" s="3">
        <f>+'[1]Población y Cobertura'!K61</f>
        <v>68745.778830795607</v>
      </c>
      <c r="I49" s="1">
        <f>+'[1]Población y Cobertura'!L61</f>
        <v>0.37999148120540899</v>
      </c>
      <c r="J49" s="3">
        <f>+'[1]Población y Cobertura'!R61</f>
        <v>182010.999983166</v>
      </c>
      <c r="K49" s="3">
        <f>+'[1]Población y Cobertura'!S61</f>
        <v>69162.629479281168</v>
      </c>
      <c r="L49" s="3">
        <f>+'[1]Población y Cobertura'!T61</f>
        <v>0</v>
      </c>
      <c r="M49" s="3">
        <f>+'[1]Población y Cobertura'!U61</f>
        <v>69162.629479281168</v>
      </c>
      <c r="N49" s="1">
        <f>+'[1]Población y Cobertura'!V61</f>
        <v>0.37999148120541038</v>
      </c>
      <c r="O49" s="3">
        <f>+'[1]Población y Cobertura'!X61</f>
        <v>46365</v>
      </c>
      <c r="P49" s="3">
        <f>+'[1]Población y Cobertura'!Y61</f>
        <v>115527.62947928117</v>
      </c>
      <c r="Q49" s="1">
        <f>+'[1]Población y Cobertura'!Z61</f>
        <v>0.63472883226819365</v>
      </c>
      <c r="R49" s="2">
        <f>+'[1]Población y Cobertura'!AA61</f>
        <v>1469.2362705202463</v>
      </c>
    </row>
    <row r="50" spans="1:18" x14ac:dyDescent="0.35">
      <c r="A50" t="s">
        <v>2</v>
      </c>
      <c r="B50" t="str">
        <f>+'[1]Población y Cobertura'!$B62</f>
        <v>Morón</v>
      </c>
      <c r="C50">
        <f>+'[1]Población y Cobertura'!D62</f>
        <v>324279</v>
      </c>
      <c r="D50" s="3">
        <f>+'[1]Población y Cobertura'!F62</f>
        <v>319138.00000000006</v>
      </c>
      <c r="E50" s="3">
        <f>+'[1]Población y Cobertura'!G62</f>
        <v>238560.03199097078</v>
      </c>
      <c r="F50" s="1">
        <f>+'[1]Población y Cobertura'!H62</f>
        <v>0.74751371504167707</v>
      </c>
      <c r="G50" s="3">
        <f>+'[1]Población y Cobertura'!J62</f>
        <v>318632</v>
      </c>
      <c r="H50" s="3">
        <f>+'[1]Población y Cobertura'!K62</f>
        <v>254785.52799286999</v>
      </c>
      <c r="I50" s="1">
        <f>+'[1]Población y Cobertura'!L62</f>
        <v>0.79962316400383604</v>
      </c>
      <c r="J50" s="3">
        <f>+'[1]Población y Cobertura'!R62</f>
        <v>318104.00015792402</v>
      </c>
      <c r="K50" s="3">
        <f>+'[1]Población y Cobertura'!S62</f>
        <v>254363.32708855567</v>
      </c>
      <c r="L50" s="3">
        <f>+'[1]Población y Cobertura'!T62</f>
        <v>7469</v>
      </c>
      <c r="M50" s="3">
        <f>+'[1]Población y Cobertura'!U62</f>
        <v>261832.32708855567</v>
      </c>
      <c r="N50" s="1">
        <f>+'[1]Población y Cobertura'!V62</f>
        <v>0.82310290646633788</v>
      </c>
      <c r="O50" s="3">
        <f>+'[1]Población y Cobertura'!X62</f>
        <v>70080</v>
      </c>
      <c r="P50" s="3">
        <f>+'[1]Población y Cobertura'!Y62</f>
        <v>331912.32708855567</v>
      </c>
      <c r="Q50" s="1">
        <f>+'[1]Población y Cobertura'!Z62</f>
        <v>1</v>
      </c>
      <c r="R50" s="2">
        <f>+'[1]Población y Cobertura'!AA62</f>
        <v>498.11149491068903</v>
      </c>
    </row>
    <row r="51" spans="1:18" x14ac:dyDescent="0.35">
      <c r="A51" t="s">
        <v>2</v>
      </c>
      <c r="B51" t="str">
        <f>+'[1]Población y Cobertura'!$B63</f>
        <v>Tres de Febrero</v>
      </c>
      <c r="C51">
        <f>+'[1]Población y Cobertura'!D63</f>
        <v>343338</v>
      </c>
      <c r="D51" s="3">
        <f>+'[1]Población y Cobertura'!F63</f>
        <v>344010.99999999884</v>
      </c>
      <c r="E51" s="3">
        <f>+'[1]Población y Cobertura'!G63</f>
        <v>307584.73810938385</v>
      </c>
      <c r="F51" s="1">
        <f>+'[1]Población y Cobertura'!H63</f>
        <v>0.89411308972499393</v>
      </c>
      <c r="G51" s="3">
        <f>+'[1]Población y Cobertura'!J63</f>
        <v>344066.99999999802</v>
      </c>
      <c r="H51" s="3">
        <f>+'[1]Población y Cobertura'!K63</f>
        <v>307711.97193436098</v>
      </c>
      <c r="I51" s="1">
        <f>+'[1]Población y Cobertura'!L63</f>
        <v>0.89433735852134</v>
      </c>
      <c r="J51" s="3">
        <f>+'[1]Población y Cobertura'!R63</f>
        <v>344116.99993153801</v>
      </c>
      <c r="K51" s="3">
        <f>+'[1]Población y Cobertura'!S63</f>
        <v>307756.68874105893</v>
      </c>
      <c r="L51" s="3">
        <f>+'[1]Población y Cobertura'!T63</f>
        <v>0</v>
      </c>
      <c r="M51" s="3">
        <f>+'[1]Población y Cobertura'!U63</f>
        <v>307756.68874105893</v>
      </c>
      <c r="N51" s="1">
        <f>+'[1]Población y Cobertura'!V63</f>
        <v>0.89433735852133733</v>
      </c>
      <c r="O51" s="3">
        <f>+'[1]Población y Cobertura'!X63</f>
        <v>5281</v>
      </c>
      <c r="P51" s="3">
        <f>+'[1]Población y Cobertura'!Y63</f>
        <v>313037.68874105893</v>
      </c>
      <c r="Q51" s="1">
        <f>+'[1]Población y Cobertura'!Z63</f>
        <v>0.90968388310759918</v>
      </c>
      <c r="R51" s="2">
        <f>+'[1]Población y Cobertura'!AA63</f>
        <v>151.98879807999998</v>
      </c>
    </row>
    <row r="52" spans="1:18" x14ac:dyDescent="0.35">
      <c r="A52" t="s">
        <v>2</v>
      </c>
      <c r="B52" t="str">
        <f>+'[1]Población y Cobertura'!$B64</f>
        <v>Región Oeste</v>
      </c>
      <c r="C52">
        <f>+'[1]Población y Cobertura'!D64</f>
        <v>2796789</v>
      </c>
      <c r="D52" s="3">
        <f>+'[1]Población y Cobertura'!F64</f>
        <v>3269364.0000000019</v>
      </c>
      <c r="E52" s="3">
        <f>+'[1]Población y Cobertura'!G64</f>
        <v>2028106.9206863488</v>
      </c>
      <c r="F52" s="1">
        <f>+'[1]Población y Cobertura'!H64</f>
        <v>0.62033683636522197</v>
      </c>
      <c r="G52" s="3">
        <f>+'[1]Población y Cobertura'!J64</f>
        <v>3318390</v>
      </c>
      <c r="H52" s="3">
        <f>+'[1]Población y Cobertura'!K64</f>
        <v>2078680.2263975199</v>
      </c>
      <c r="I52" s="1">
        <f>+'[1]Población y Cobertura'!L64</f>
        <v>0.62641227414424405</v>
      </c>
      <c r="J52" s="3">
        <f>+'[1]Población y Cobertura'!R64</f>
        <v>3366702.9998093517</v>
      </c>
      <c r="K52" s="3">
        <f>+'[1]Población y Cobertura'!S64</f>
        <v>2106690.0726210298</v>
      </c>
      <c r="L52" s="3">
        <f>+'[1]Población y Cobertura'!T64</f>
        <v>44845</v>
      </c>
      <c r="M52" s="3">
        <f>+'[1]Población y Cobertura'!U64</f>
        <v>2151535.0726210298</v>
      </c>
      <c r="N52" s="1">
        <f>+'[1]Población y Cobertura'!V64</f>
        <v>0.63906292676926535</v>
      </c>
      <c r="O52" s="3">
        <f>+'[1]Población y Cobertura'!X64</f>
        <v>195865</v>
      </c>
      <c r="P52" s="3">
        <f>+'[1]Población y Cobertura'!Y64</f>
        <v>2347400.0726210298</v>
      </c>
      <c r="Q52" s="1">
        <f>+'[1]Población y Cobertura'!Z64</f>
        <v>0.69724002169302057</v>
      </c>
      <c r="R52" s="2">
        <f>+'[1]Población y Cobertura'!AA64</f>
        <v>3868.6127762112415</v>
      </c>
    </row>
    <row r="53" spans="1:18" x14ac:dyDescent="0.35">
      <c r="A53" t="s">
        <v>2</v>
      </c>
      <c r="B53" t="str">
        <f>+'[1]Población y Cobertura'!$B65</f>
        <v>Avellaneda</v>
      </c>
      <c r="C53">
        <f>+'[1]Población y Cobertura'!D65</f>
        <v>345752</v>
      </c>
      <c r="D53" s="3">
        <f>+'[1]Población y Cobertura'!F65</f>
        <v>355352.00000000064</v>
      </c>
      <c r="E53" s="3">
        <f>+'[1]Población y Cobertura'!G65</f>
        <v>245629.80369744831</v>
      </c>
      <c r="F53" s="1">
        <f>+'[1]Población y Cobertura'!H65</f>
        <v>0.69122955181748769</v>
      </c>
      <c r="G53" s="3">
        <f>+'[1]Población y Cobertura'!J65</f>
        <v>356392</v>
      </c>
      <c r="H53" s="3">
        <f>+'[1]Población y Cobertura'!K65</f>
        <v>262798.79675605602</v>
      </c>
      <c r="I53" s="1">
        <f>+'[1]Población y Cobertura'!L65</f>
        <v>0.73738691316319205</v>
      </c>
      <c r="J53" s="3">
        <f>+'[1]Población y Cobertura'!R65</f>
        <v>357440.00010690396</v>
      </c>
      <c r="K53" s="3">
        <f>+'[1]Población y Cobertura'!S65</f>
        <v>263571.57831988059</v>
      </c>
      <c r="L53" s="3">
        <f>+'[1]Población y Cobertura'!T65</f>
        <v>20696</v>
      </c>
      <c r="M53" s="3">
        <f>+'[1]Población y Cobertura'!U65</f>
        <v>284267.57831988059</v>
      </c>
      <c r="N53" s="1">
        <f>+'[1]Población y Cobertura'!V65</f>
        <v>0.79528753982447742</v>
      </c>
      <c r="O53" s="3">
        <f>+'[1]Población y Cobertura'!X65</f>
        <v>23169</v>
      </c>
      <c r="P53" s="3">
        <f>+'[1]Población y Cobertura'!Y65</f>
        <v>307436.57831988059</v>
      </c>
      <c r="Q53" s="1">
        <f>+'[1]Población y Cobertura'!Z65</f>
        <v>0.86010681017214574</v>
      </c>
      <c r="R53" s="2">
        <f>+'[1]Población y Cobertura'!AA65</f>
        <v>651.55163861520009</v>
      </c>
    </row>
    <row r="54" spans="1:18" x14ac:dyDescent="0.35">
      <c r="A54" t="s">
        <v>2</v>
      </c>
      <c r="B54" t="str">
        <f>+'[1]Población y Cobertura'!$B66</f>
        <v>Lanús</v>
      </c>
      <c r="C54">
        <f>+'[1]Población y Cobertura'!D66</f>
        <v>463555</v>
      </c>
      <c r="D54" s="3">
        <f>+'[1]Población y Cobertura'!F66</f>
        <v>462895.00000000012</v>
      </c>
      <c r="E54" s="3">
        <f>+'[1]Población y Cobertura'!G66</f>
        <v>260007.27920095786</v>
      </c>
      <c r="F54" s="1">
        <f>+'[1]Población y Cobertura'!H66</f>
        <v>0.56169818036694674</v>
      </c>
      <c r="G54" s="3">
        <f>+'[1]Población y Cobertura'!J66</f>
        <v>462827</v>
      </c>
      <c r="H54" s="3">
        <f>+'[1]Población y Cobertura'!K66</f>
        <v>262075.77002944599</v>
      </c>
      <c r="I54" s="1">
        <f>+'[1]Población y Cobertura'!L66</f>
        <v>0.56624995955172497</v>
      </c>
      <c r="J54" s="3">
        <f>+'[1]Población y Cobertura'!R66</f>
        <v>462759.99993011495</v>
      </c>
      <c r="K54" s="3">
        <f>+'[1]Población y Cobertura'!S66</f>
        <v>262037.83124258366</v>
      </c>
      <c r="L54" s="3">
        <f>+'[1]Población y Cobertura'!T66</f>
        <v>57100</v>
      </c>
      <c r="M54" s="3">
        <f>+'[1]Población y Cobertura'!U66</f>
        <v>319137.83124258369</v>
      </c>
      <c r="N54" s="1">
        <f>+'[1]Población y Cobertura'!V66</f>
        <v>0.68964005378766358</v>
      </c>
      <c r="O54" s="3">
        <f>+'[1]Población y Cobertura'!X66</f>
        <v>42474</v>
      </c>
      <c r="P54" s="3">
        <f>+'[1]Población y Cobertura'!Y66</f>
        <v>361611.83124258369</v>
      </c>
      <c r="Q54" s="1">
        <f>+'[1]Población y Cobertura'!Z66</f>
        <v>0.78142413194138116</v>
      </c>
      <c r="R54" s="2">
        <f>+'[1]Población y Cobertura'!AA66</f>
        <v>1588.8393308929612</v>
      </c>
    </row>
    <row r="55" spans="1:18" x14ac:dyDescent="0.35">
      <c r="A55" t="s">
        <v>2</v>
      </c>
      <c r="B55" t="str">
        <f>+'[1]Población y Cobertura'!$B67</f>
        <v>Quilmes</v>
      </c>
      <c r="C55">
        <f>+'[1]Población y Cobertura'!D67</f>
        <v>586462</v>
      </c>
      <c r="D55" s="3">
        <f>+'[1]Población y Cobertura'!F67</f>
        <v>657123.00000000221</v>
      </c>
      <c r="E55" s="3">
        <f>+'[1]Población y Cobertura'!G67</f>
        <v>513045.18940869317</v>
      </c>
      <c r="F55" s="1">
        <f>+'[1]Población y Cobertura'!H67</f>
        <v>0.7807445324675768</v>
      </c>
      <c r="G55" s="3">
        <f>+'[1]Población y Cobertura'!J67</f>
        <v>664783</v>
      </c>
      <c r="H55" s="3">
        <f>+'[1]Población y Cobertura'!K67</f>
        <v>520406.35435032501</v>
      </c>
      <c r="I55" s="1">
        <f>+'[1]Población y Cobertura'!L67</f>
        <v>0.78282139337246104</v>
      </c>
      <c r="J55" s="3">
        <f>+'[1]Población y Cobertura'!R67</f>
        <v>672198.99984012998</v>
      </c>
      <c r="K55" s="3">
        <f>+'[1]Población y Cobertura'!S67</f>
        <v>526211.75767842552</v>
      </c>
      <c r="L55" s="3">
        <f>+'[1]Población y Cobertura'!T67</f>
        <v>1231</v>
      </c>
      <c r="M55" s="3">
        <f>+'[1]Población y Cobertura'!U67</f>
        <v>527442.75767842552</v>
      </c>
      <c r="N55" s="1">
        <f>+'[1]Población y Cobertura'!V67</f>
        <v>0.78465269630551071</v>
      </c>
      <c r="O55" s="3">
        <f>+'[1]Población y Cobertura'!X67</f>
        <v>49289</v>
      </c>
      <c r="P55" s="3">
        <f>+'[1]Población y Cobertura'!Y67</f>
        <v>576731.75767842552</v>
      </c>
      <c r="Q55" s="1">
        <f>+'[1]Población y Cobertura'!Z67</f>
        <v>0.85797770870767498</v>
      </c>
      <c r="R55" s="2">
        <f>+'[1]Población y Cobertura'!AA67</f>
        <v>925.87369999818759</v>
      </c>
    </row>
    <row r="56" spans="1:18" x14ac:dyDescent="0.35">
      <c r="A56" t="s">
        <v>2</v>
      </c>
      <c r="B56" t="str">
        <f>+'[1]Población y Cobertura'!$B68</f>
        <v>Región Sudeste</v>
      </c>
      <c r="C56">
        <f>+'[1]Población y Cobertura'!D68</f>
        <v>1395769</v>
      </c>
      <c r="D56" s="3">
        <f>+'[1]Población y Cobertura'!F68</f>
        <v>1475370.0000000028</v>
      </c>
      <c r="E56" s="3">
        <f>+'[1]Población y Cobertura'!G68</f>
        <v>1018682.2723070993</v>
      </c>
      <c r="F56" s="1">
        <f>+'[1]Población y Cobertura'!H68</f>
        <v>0.69045884917484923</v>
      </c>
      <c r="G56" s="3">
        <f>+'[1]Población y Cobertura'!J68</f>
        <v>1484002</v>
      </c>
      <c r="H56" s="3">
        <f>+'[1]Población y Cobertura'!K68</f>
        <v>1045280.92113583</v>
      </c>
      <c r="I56" s="1">
        <f>+'[1]Población y Cobertura'!L68</f>
        <v>0.70436624825022298</v>
      </c>
      <c r="J56" s="3">
        <f>+'[1]Población y Cobertura'!R68</f>
        <v>1492398.9998771488</v>
      </c>
      <c r="K56" s="3">
        <f>+'[1]Población y Cobertura'!S68</f>
        <v>1051821.1672408897</v>
      </c>
      <c r="L56" s="3">
        <f>+'[1]Población y Cobertura'!T68</f>
        <v>79027</v>
      </c>
      <c r="M56" s="3">
        <f>+'[1]Población y Cobertura'!U68</f>
        <v>1130848.1672408897</v>
      </c>
      <c r="N56" s="1">
        <f>+'[1]Población y Cobertura'!V68</f>
        <v>0.75773849173979535</v>
      </c>
      <c r="O56" s="3">
        <f>+'[1]Población y Cobertura'!X68</f>
        <v>114932</v>
      </c>
      <c r="P56" s="3">
        <f>+'[1]Población y Cobertura'!Y68</f>
        <v>1245780.1672408897</v>
      </c>
      <c r="Q56" s="1">
        <f>+'[1]Población y Cobertura'!Z68</f>
        <v>0.83475006840894417</v>
      </c>
      <c r="R56" s="2">
        <f>+'[1]Población y Cobertura'!AA68</f>
        <v>3166.2646695063486</v>
      </c>
    </row>
    <row r="57" spans="1:18" x14ac:dyDescent="0.35">
      <c r="A57" t="s">
        <v>2</v>
      </c>
      <c r="B57" t="str">
        <f>+'[1]Población y Cobertura'!$B69</f>
        <v>Almirante Brown</v>
      </c>
      <c r="C57">
        <f>+'[1]Población y Cobertura'!D69</f>
        <v>557025</v>
      </c>
      <c r="D57" s="3">
        <f>+'[1]Población y Cobertura'!F69</f>
        <v>594270.00000000256</v>
      </c>
      <c r="E57" s="3">
        <f>+'[1]Población y Cobertura'!G69</f>
        <v>209963.13106234104</v>
      </c>
      <c r="F57" s="1">
        <f>+'[1]Población y Cobertura'!H69</f>
        <v>0.35331268794039766</v>
      </c>
      <c r="G57" s="3">
        <f>+'[1]Población y Cobertura'!J69</f>
        <v>597969.00000000198</v>
      </c>
      <c r="H57" s="3">
        <f>+'[1]Población y Cobertura'!K69</f>
        <v>217529.64106637999</v>
      </c>
      <c r="I57" s="1">
        <f>+'[1]Población y Cobertura'!L69</f>
        <v>0.36378079978457001</v>
      </c>
      <c r="J57" s="3">
        <f>+'[1]Población y Cobertura'!R69</f>
        <v>601618.00011232507</v>
      </c>
      <c r="K57" s="3">
        <f>+'[1]Población y Cobertura'!S69</f>
        <v>218857.07724565562</v>
      </c>
      <c r="L57" s="3">
        <f>+'[1]Población y Cobertura'!T69</f>
        <v>4672</v>
      </c>
      <c r="M57" s="3">
        <f>+'[1]Población y Cobertura'!U69</f>
        <v>223529.07724565562</v>
      </c>
      <c r="N57" s="1">
        <f>+'[1]Población y Cobertura'!V69</f>
        <v>0.37154652487778228</v>
      </c>
      <c r="O57" s="3">
        <f>+'[1]Población y Cobertura'!X69</f>
        <v>80065</v>
      </c>
      <c r="P57" s="3">
        <f>+'[1]Población y Cobertura'!Y69</f>
        <v>303594.07724565559</v>
      </c>
      <c r="Q57" s="1">
        <f>+'[1]Población y Cobertura'!Z69</f>
        <v>0.50462931160466118</v>
      </c>
      <c r="R57" s="2">
        <f>+'[1]Población y Cobertura'!AA69</f>
        <v>3044.1284102509926</v>
      </c>
    </row>
    <row r="58" spans="1:18" x14ac:dyDescent="0.35">
      <c r="A58" t="s">
        <v>2</v>
      </c>
      <c r="B58" t="str">
        <f>+'[1]Población y Cobertura'!$B70</f>
        <v>Esteban Echeverría</v>
      </c>
      <c r="C58">
        <f>+'[1]Población y Cobertura'!D70</f>
        <v>300785</v>
      </c>
      <c r="D58" s="3">
        <f>+'[1]Población y Cobertura'!F70</f>
        <v>364641.00000000146</v>
      </c>
      <c r="E58" s="3">
        <f>+'[1]Población y Cobertura'!G70</f>
        <v>168390.59189121865</v>
      </c>
      <c r="F58" s="1">
        <f>+'[1]Población y Cobertura'!H70</f>
        <v>0.46179829446282228</v>
      </c>
      <c r="G58" s="3">
        <f>+'[1]Población y Cobertura'!J70</f>
        <v>370900.00000000099</v>
      </c>
      <c r="H58" s="3">
        <f>+'[1]Población y Cobertura'!K70</f>
        <v>182503.491530495</v>
      </c>
      <c r="I58" s="1">
        <f>+'[1]Población y Cobertura'!L70</f>
        <v>0.49205578735641697</v>
      </c>
      <c r="J58" s="3">
        <f>+'[1]Población y Cobertura'!R70</f>
        <v>377237.00000356504</v>
      </c>
      <c r="K58" s="3">
        <f>+'[1]Población y Cobertura'!S70</f>
        <v>185621.6490567268</v>
      </c>
      <c r="L58" s="3">
        <f>+'[1]Población y Cobertura'!T70</f>
        <v>22490</v>
      </c>
      <c r="M58" s="3">
        <f>+'[1]Población y Cobertura'!U70</f>
        <v>208111.6490567268</v>
      </c>
      <c r="N58" s="1">
        <f>+'[1]Población y Cobertura'!V70</f>
        <v>0.55167348127240978</v>
      </c>
      <c r="O58" s="3">
        <f>+'[1]Población y Cobertura'!X70</f>
        <v>36690</v>
      </c>
      <c r="P58" s="3">
        <f>+'[1]Población y Cobertura'!Y70</f>
        <v>244801.6490567268</v>
      </c>
      <c r="Q58" s="1">
        <f>+'[1]Población y Cobertura'!Z70</f>
        <v>0.64893329406822053</v>
      </c>
      <c r="R58" s="2">
        <f>+'[1]Población y Cobertura'!AA70</f>
        <v>1005.2760611343001</v>
      </c>
    </row>
    <row r="59" spans="1:18" x14ac:dyDescent="0.35">
      <c r="A59" t="s">
        <v>2</v>
      </c>
      <c r="B59" t="str">
        <f>+'[1]Población y Cobertura'!$B71</f>
        <v>Ezeiza</v>
      </c>
      <c r="C59">
        <f>+'[1]Población y Cobertura'!D71</f>
        <v>163287</v>
      </c>
      <c r="D59" s="3">
        <f>+'[1]Población y Cobertura'!F71</f>
        <v>213864.00000000003</v>
      </c>
      <c r="E59" s="3">
        <f>+'[1]Población y Cobertura'!G71</f>
        <v>62055.621819250773</v>
      </c>
      <c r="F59" s="1">
        <f>+'[1]Población y Cobertura'!H71</f>
        <v>0.29016394446587906</v>
      </c>
      <c r="G59" s="3">
        <f>+'[1]Población y Cobertura'!J71</f>
        <v>219031</v>
      </c>
      <c r="H59" s="3">
        <f>+'[1]Población y Cobertura'!K71</f>
        <v>64504.6006601872</v>
      </c>
      <c r="I59" s="1">
        <f>+'[1]Población y Cobertura'!L71</f>
        <v>0.29449986832999597</v>
      </c>
      <c r="J59" s="3">
        <f>+'[1]Población y Cobertura'!R71</f>
        <v>224227.99996975801</v>
      </c>
      <c r="K59" s="3">
        <f>+'[1]Población y Cobertura'!S71</f>
        <v>66035.116466991924</v>
      </c>
      <c r="L59" s="3">
        <f>+'[1]Población y Cobertura'!T71</f>
        <v>7936</v>
      </c>
      <c r="M59" s="3">
        <f>+'[1]Población y Cobertura'!U71</f>
        <v>73971.116466991924</v>
      </c>
      <c r="N59" s="1">
        <f>+'[1]Población y Cobertura'!V71</f>
        <v>0.3298924152067027</v>
      </c>
      <c r="O59" s="3">
        <f>+'[1]Población y Cobertura'!X71</f>
        <v>9361</v>
      </c>
      <c r="P59" s="3">
        <f>+'[1]Población y Cobertura'!Y71</f>
        <v>83332.116466991924</v>
      </c>
      <c r="Q59" s="1">
        <f>+'[1]Población y Cobertura'!Z71</f>
        <v>0.37164010060398817</v>
      </c>
      <c r="R59" s="2">
        <f>+'[1]Población y Cobertura'!AA71</f>
        <v>728.64218136964189</v>
      </c>
    </row>
    <row r="60" spans="1:18" x14ac:dyDescent="0.35">
      <c r="A60" t="s">
        <v>2</v>
      </c>
      <c r="B60" t="str">
        <f>+'[1]Población y Cobertura'!$B72</f>
        <v>Lomas de Zamora</v>
      </c>
      <c r="C60">
        <f>+'[1]Población y Cobertura'!D72</f>
        <v>621440</v>
      </c>
      <c r="D60" s="3">
        <f>+'[1]Población y Cobertura'!F72</f>
        <v>645879.9999999979</v>
      </c>
      <c r="E60" s="3">
        <f>+'[1]Población y Cobertura'!G72</f>
        <v>244843.8538233772</v>
      </c>
      <c r="F60" s="1">
        <f>+'[1]Población y Cobertura'!H72</f>
        <v>0.37908567198764165</v>
      </c>
      <c r="G60" s="3">
        <f>+'[1]Población y Cobertura'!J72</f>
        <v>648311.99999999895</v>
      </c>
      <c r="H60" s="3">
        <f>+'[1]Población y Cobertura'!K72</f>
        <v>250778.565602471</v>
      </c>
      <c r="I60" s="1">
        <f>+'[1]Población y Cobertura'!L72</f>
        <v>0.38681771369721901</v>
      </c>
      <c r="J60" s="3">
        <f>+'[1]Población y Cobertura'!R72</f>
        <v>650678.00005760009</v>
      </c>
      <c r="K60" s="3">
        <f>+'[1]Población y Cobertura'!S72</f>
        <v>251693.77633535932</v>
      </c>
      <c r="L60" s="3">
        <f>+'[1]Población y Cobertura'!T72</f>
        <v>21370</v>
      </c>
      <c r="M60" s="3">
        <f>+'[1]Población y Cobertura'!U72</f>
        <v>273063.77633535932</v>
      </c>
      <c r="N60" s="1">
        <f>+'[1]Población y Cobertura'!V72</f>
        <v>0.41966037934460187</v>
      </c>
      <c r="O60" s="3">
        <f>+'[1]Población y Cobertura'!X72</f>
        <v>145244</v>
      </c>
      <c r="P60" s="3">
        <f>+'[1]Población y Cobertura'!Y72</f>
        <v>418307.77633535932</v>
      </c>
      <c r="Q60" s="1">
        <f>+'[1]Población y Cobertura'!Z72</f>
        <v>0.64287985193648689</v>
      </c>
      <c r="R60" s="2">
        <f>+'[1]Población y Cobertura'!AA72</f>
        <v>4913.9979208112754</v>
      </c>
    </row>
    <row r="61" spans="1:18" x14ac:dyDescent="0.35">
      <c r="A61" t="s">
        <v>2</v>
      </c>
      <c r="B61" t="str">
        <f>+'[1]Población y Cobertura'!$B73</f>
        <v>Región Sudoeste</v>
      </c>
      <c r="C61">
        <f>+'[1]Población y Cobertura'!D73</f>
        <v>1642537</v>
      </c>
      <c r="D61" s="3">
        <f>+'[1]Población y Cobertura'!F73</f>
        <v>1818655.0000000019</v>
      </c>
      <c r="E61" s="3">
        <f>+'[1]Población y Cobertura'!G73</f>
        <v>685253.19859618763</v>
      </c>
      <c r="F61" s="1">
        <f>+'[1]Población y Cobertura'!H73</f>
        <v>0.37679119931828026</v>
      </c>
      <c r="G61" s="3">
        <f>+'[1]Población y Cobertura'!J73</f>
        <v>1836212</v>
      </c>
      <c r="H61" s="3">
        <f>+'[1]Población y Cobertura'!K73</f>
        <v>715316.29885953397</v>
      </c>
      <c r="I61" s="1">
        <f>+'[1]Población y Cobertura'!L73</f>
        <v>0.38956084529429802</v>
      </c>
      <c r="J61" s="3">
        <f>+'[1]Población y Cobertura'!R73</f>
        <v>1853761.0001432481</v>
      </c>
      <c r="K61" s="3">
        <f>+'[1]Población y Cobertura'!S73</f>
        <v>722207.61910473369</v>
      </c>
      <c r="L61" s="3">
        <f>+'[1]Población y Cobertura'!T73</f>
        <v>56468</v>
      </c>
      <c r="M61" s="3">
        <f>+'[1]Población y Cobertura'!U73</f>
        <v>778675.61910473369</v>
      </c>
      <c r="N61" s="1">
        <f>+'[1]Población y Cobertura'!V73</f>
        <v>0.42005178609570598</v>
      </c>
      <c r="O61" s="3">
        <f>+'[1]Población y Cobertura'!X73</f>
        <v>271360</v>
      </c>
      <c r="P61" s="3">
        <f>+'[1]Población y Cobertura'!Y73</f>
        <v>1050035.6191047337</v>
      </c>
      <c r="Q61" s="1">
        <f>+'[1]Población y Cobertura'!Z73</f>
        <v>0.56643527349188649</v>
      </c>
      <c r="R61" s="2">
        <f>+'[1]Población y Cobertura'!AA73</f>
        <v>9692.0445735662106</v>
      </c>
    </row>
    <row r="62" spans="1:18" x14ac:dyDescent="0.35">
      <c r="A62" t="s">
        <v>2</v>
      </c>
      <c r="B62" t="str">
        <f>+'[1]Población y Cobertura'!$B74</f>
        <v>Total Concesión</v>
      </c>
      <c r="C62">
        <f>+'[1]Población y Cobertura'!D74</f>
        <v>10390843</v>
      </c>
      <c r="D62" s="3">
        <f>+'[1]Población y Cobertura'!F74</f>
        <v>11249529.000000009</v>
      </c>
      <c r="E62" s="3">
        <f>+'[1]Población y Cobertura'!G74</f>
        <v>7855750.0192656899</v>
      </c>
      <c r="F62" s="1">
        <f>+'[1]Población y Cobertura'!H74</f>
        <v>0.69831812685363837</v>
      </c>
      <c r="G62" s="3">
        <f>+'[1]Población y Cobertura'!J74</f>
        <v>11337275</v>
      </c>
      <c r="H62" s="3">
        <f>+'[1]Población y Cobertura'!K74</f>
        <v>7973450.0994313899</v>
      </c>
      <c r="I62" s="1">
        <f>+'[1]Población y Cobertura'!L74</f>
        <v>0.70329511275252699</v>
      </c>
      <c r="J62" s="3">
        <f>+'[1]Población y Cobertura'!R74</f>
        <v>11423450.998614607</v>
      </c>
      <c r="K62" s="3">
        <f>+'[1]Población y Cobertura'!S74</f>
        <v>8019706.110227487</v>
      </c>
      <c r="L62" s="3">
        <f>+'[1]Población y Cobertura'!T74</f>
        <v>209770</v>
      </c>
      <c r="M62" s="3">
        <f>+'[1]Población y Cobertura'!U74</f>
        <v>8229476.110227487</v>
      </c>
      <c r="N62" s="1">
        <f>+'[1]Población y Cobertura'!V74</f>
        <v>0.72040192681051696</v>
      </c>
      <c r="O62" s="3">
        <f>+'[1]Población y Cobertura'!X74</f>
        <v>945624</v>
      </c>
      <c r="P62" s="3">
        <f>+'[1]Población y Cobertura'!Y74</f>
        <v>9175100.110227488</v>
      </c>
      <c r="Q62" s="1">
        <f>+'[1]Población y Cobertura'!Z74</f>
        <v>0.80318111500108058</v>
      </c>
      <c r="R62" s="2">
        <f>+'[1]Población y Cobertura'!AA74</f>
        <v>29717.104262598048</v>
      </c>
    </row>
    <row r="63" spans="1:18" x14ac:dyDescent="0.35">
      <c r="A63" t="s">
        <v>2</v>
      </c>
      <c r="B63" t="str">
        <f>+'[1]Población y Cobertura'!$B76</f>
        <v>San Miguel</v>
      </c>
      <c r="C63">
        <f>+'[1]Población y Cobertura'!D76</f>
        <v>278019</v>
      </c>
      <c r="D63" s="3">
        <f>+'[1]Población y Cobertura'!F76</f>
        <v>301739.99999999948</v>
      </c>
      <c r="E63" s="3">
        <f>+'[1]Población y Cobertura'!G76</f>
        <v>138495.07786141257</v>
      </c>
      <c r="F63" s="1">
        <f>+'[1]Población y Cobertura'!H76</f>
        <v>0.45898812839336123</v>
      </c>
      <c r="G63" s="3">
        <f>+'[1]Población y Cobertura'!J76</f>
        <v>304122</v>
      </c>
      <c r="H63" s="3">
        <f>+'[1]Población y Cobertura'!K76</f>
        <v>139587.92763803899</v>
      </c>
      <c r="I63" s="1">
        <f>+'[1]Población y Cobertura'!L76</f>
        <v>0.45898812839336123</v>
      </c>
      <c r="J63" s="3">
        <f>+'[1]Población y Cobertura'!R76</f>
        <v>306469.00009958405</v>
      </c>
      <c r="K63" s="3">
        <f>+'[1]Población y Cobertura'!S76</f>
        <v>140665.16927155189</v>
      </c>
      <c r="L63" s="3">
        <f>+'[1]Población y Cobertura'!T76</f>
        <v>0</v>
      </c>
      <c r="M63" s="3">
        <f>+'[1]Población y Cobertura'!U76</f>
        <v>140665.16927155189</v>
      </c>
      <c r="N63" s="1">
        <f>+'[1]Población y Cobertura'!V76</f>
        <v>0.45898661602264551</v>
      </c>
      <c r="O63" s="3">
        <f>+'[1]Población y Cobertura'!X76</f>
        <v>72065</v>
      </c>
      <c r="P63" s="3">
        <f>+'[1]Población y Cobertura'!Y76</f>
        <v>212730.16927155189</v>
      </c>
      <c r="Q63" s="1">
        <f>+'[1]Población y Cobertura'!Z76</f>
        <v>0.6941327481814713</v>
      </c>
      <c r="R63" s="2">
        <f>+'[1]Población y Cobertura'!AA76</f>
        <v>1779.4433983161455</v>
      </c>
    </row>
    <row r="64" spans="1:18" x14ac:dyDescent="0.35">
      <c r="A64" t="s">
        <v>2</v>
      </c>
      <c r="B64" t="str">
        <f>+'[1]Población y Cobertura'!$B77</f>
        <v>José C. Paz</v>
      </c>
      <c r="C64">
        <f>+'[1]Población y Cobertura'!D77</f>
        <v>267275</v>
      </c>
      <c r="D64" s="3">
        <f>+'[1]Población y Cobertura'!F77</f>
        <v>303896.00000000041</v>
      </c>
      <c r="E64" s="3">
        <f>+'[1]Población y Cobertura'!G77</f>
        <v>0</v>
      </c>
      <c r="F64" s="1">
        <f>+'[1]Población y Cobertura'!H77</f>
        <v>0</v>
      </c>
      <c r="G64" s="3">
        <f>+'[1]Población y Cobertura'!J77</f>
        <v>307443</v>
      </c>
      <c r="H64" s="3">
        <f>+'[1]Población y Cobertura'!K77</f>
        <v>0</v>
      </c>
      <c r="I64" s="1">
        <f>+'[1]Población y Cobertura'!L77</f>
        <v>0</v>
      </c>
      <c r="J64" s="3">
        <f>+'[1]Población y Cobertura'!R77</f>
        <v>311187.00011455</v>
      </c>
      <c r="K64" s="3">
        <f>+'[1]Población y Cobertura'!S77</f>
        <v>0</v>
      </c>
      <c r="L64" s="3">
        <f>+'[1]Población y Cobertura'!T77</f>
        <v>0</v>
      </c>
      <c r="M64" s="3">
        <f>+'[1]Población y Cobertura'!U77</f>
        <v>0</v>
      </c>
      <c r="N64" s="1">
        <f>+'[1]Población y Cobertura'!V77</f>
        <v>0</v>
      </c>
      <c r="O64" s="3">
        <f>+'[1]Población y Cobertura'!X77</f>
        <v>0</v>
      </c>
      <c r="P64" s="3">
        <f>+'[1]Población y Cobertura'!Y77</f>
        <v>0</v>
      </c>
      <c r="Q64" s="1">
        <f>+'[1]Población y Cobertura'!Z77</f>
        <v>0</v>
      </c>
      <c r="R64" s="2">
        <f>+'[1]Población y Cobertura'!AA77</f>
        <v>0</v>
      </c>
    </row>
    <row r="65" spans="1:18" x14ac:dyDescent="0.35">
      <c r="A65" t="s">
        <v>2</v>
      </c>
      <c r="B65" t="str">
        <f>+'[1]Población y Cobertura'!$B78</f>
        <v>Malvinas Argentinas</v>
      </c>
      <c r="C65">
        <f>+'[1]Población y Cobertura'!D78</f>
        <v>324358</v>
      </c>
      <c r="D65" s="3">
        <f>+'[1]Población y Cobertura'!F78</f>
        <v>356643.00000000006</v>
      </c>
      <c r="E65" s="3">
        <f>+'[1]Población y Cobertura'!G78</f>
        <v>0</v>
      </c>
      <c r="F65" s="1">
        <f>+'[1]Población y Cobertura'!H78</f>
        <v>0</v>
      </c>
      <c r="G65" s="3">
        <f>+'[1]Población y Cobertura'!J78</f>
        <v>359953</v>
      </c>
      <c r="H65" s="3">
        <f>+'[1]Población y Cobertura'!K78</f>
        <v>0</v>
      </c>
      <c r="I65" s="1">
        <f>+'[1]Población y Cobertura'!L78</f>
        <v>0</v>
      </c>
      <c r="J65" s="3">
        <f>+'[1]Población y Cobertura'!R78</f>
        <v>363262.99997318198</v>
      </c>
      <c r="K65" s="3">
        <f>+'[1]Población y Cobertura'!S78</f>
        <v>0</v>
      </c>
      <c r="L65" s="3">
        <f>+'[1]Población y Cobertura'!T78</f>
        <v>0</v>
      </c>
      <c r="M65" s="3">
        <f>+'[1]Población y Cobertura'!U78</f>
        <v>0</v>
      </c>
      <c r="N65" s="1">
        <f>+'[1]Población y Cobertura'!V78</f>
        <v>0</v>
      </c>
      <c r="O65" s="3">
        <f>+'[1]Población y Cobertura'!X78</f>
        <v>11664</v>
      </c>
      <c r="P65" s="3">
        <f>+'[1]Población y Cobertura'!Y78</f>
        <v>11664</v>
      </c>
      <c r="Q65" s="1">
        <f>+'[1]Población y Cobertura'!Z78</f>
        <v>3.2108967885144092E-2</v>
      </c>
      <c r="R65" s="2">
        <f>+'[1]Población y Cobertura'!AA78</f>
        <v>359.44752110629997</v>
      </c>
    </row>
    <row r="66" spans="1:18" x14ac:dyDescent="0.35">
      <c r="A66" t="s">
        <v>2</v>
      </c>
      <c r="B66" t="str">
        <f>+'[1]Población y Cobertura'!$B79</f>
        <v>Escobar</v>
      </c>
      <c r="C66">
        <f>+'[1]Población y Cobertura'!D79</f>
        <v>215256</v>
      </c>
      <c r="D66" s="3">
        <f>+'[1]Población y Cobertura'!F79</f>
        <v>251244.99999999936</v>
      </c>
      <c r="E66" s="3">
        <f>+'[1]Población y Cobertura'!G79</f>
        <v>18378.445060915732</v>
      </c>
      <c r="F66" s="1">
        <f>+'[1]Población y Cobertura'!H79</f>
        <v>7.3149495754804186E-2</v>
      </c>
      <c r="G66" s="3">
        <f>+'[1]Población y Cobertura'!J79</f>
        <v>255073</v>
      </c>
      <c r="H66" s="3">
        <f>+'[1]Población y Cobertura'!K79</f>
        <v>18658.6179154124</v>
      </c>
      <c r="I66" s="1">
        <f>+'[1]Población y Cobertura'!L79</f>
        <v>7.3149495754804186E-2</v>
      </c>
      <c r="J66" s="3">
        <f>+'[1]Población y Cobertura'!R79</f>
        <v>258804.99994931999</v>
      </c>
      <c r="K66" s="3">
        <f>+'[1]Población y Cobertura'!S79</f>
        <v>18931.614120870057</v>
      </c>
      <c r="L66" s="3">
        <f>+'[1]Población y Cobertura'!T79</f>
        <v>13055</v>
      </c>
      <c r="M66" s="3">
        <f>+'[1]Población y Cobertura'!U79</f>
        <v>31986.614120870057</v>
      </c>
      <c r="N66" s="1">
        <f>+'[1]Población y Cobertura'!V79</f>
        <v>0.12359349366176765</v>
      </c>
      <c r="O66" s="3">
        <f>+'[1]Población y Cobertura'!X79</f>
        <v>9590</v>
      </c>
      <c r="P66" s="3">
        <f>+'[1]Población y Cobertura'!Y79</f>
        <v>41576.614120870057</v>
      </c>
      <c r="Q66" s="1">
        <f>+'[1]Población y Cobertura'!Z79</f>
        <v>0.16064841919210107</v>
      </c>
      <c r="R66" s="2">
        <f>+'[1]Población y Cobertura'!AA79</f>
        <v>590.05824795909086</v>
      </c>
    </row>
    <row r="67" spans="1:18" x14ac:dyDescent="0.35">
      <c r="A67" t="s">
        <v>2</v>
      </c>
      <c r="B67" t="str">
        <f>+'[1]Población y Cobertura'!$B80</f>
        <v>Pilar</v>
      </c>
      <c r="C67">
        <f>+'[1]Población y Cobertura'!D80</f>
        <v>299549</v>
      </c>
      <c r="D67" s="3">
        <f>+'[1]Población y Cobertura'!F80</f>
        <v>370798.00000000017</v>
      </c>
      <c r="E67" s="3">
        <f>+'[1]Población y Cobertura'!G80</f>
        <v>62402.750969505141</v>
      </c>
      <c r="F67" s="1">
        <f>+'[1]Población y Cobertura'!H80</f>
        <v>0.16829311638548511</v>
      </c>
      <c r="G67" s="3">
        <f>+'[1]Población y Cobertura'!J80</f>
        <v>378167.00000000099</v>
      </c>
      <c r="H67" s="3">
        <f>+'[1]Población y Cobertura'!K80</f>
        <v>63652.958747984601</v>
      </c>
      <c r="I67" s="1">
        <f>+'[1]Población y Cobertura'!L80</f>
        <v>0.16829311638548511</v>
      </c>
      <c r="J67" s="3">
        <f>+'[1]Población y Cobertura'!R80</f>
        <v>385426.00006804604</v>
      </c>
      <c r="K67" s="3">
        <f>+'[1]Población y Cobertura'!S80</f>
        <v>64874.791514680132</v>
      </c>
      <c r="L67" s="3">
        <f>+'[1]Población y Cobertura'!T80</f>
        <v>0</v>
      </c>
      <c r="M67" s="3">
        <f>+'[1]Población y Cobertura'!U80</f>
        <v>64874.791514680132</v>
      </c>
      <c r="N67" s="1">
        <f>+'[1]Población y Cobertura'!V80</f>
        <v>0.16831970729329793</v>
      </c>
      <c r="O67" s="3">
        <f>+'[1]Población y Cobertura'!X80</f>
        <v>0</v>
      </c>
      <c r="P67" s="3">
        <f>+'[1]Población y Cobertura'!Y80</f>
        <v>64874.791514680132</v>
      </c>
      <c r="Q67" s="1">
        <f>+'[1]Población y Cobertura'!Z80</f>
        <v>0.16831970729329793</v>
      </c>
      <c r="R67" s="2">
        <f>+'[1]Población y Cobertura'!AA80</f>
        <v>0</v>
      </c>
    </row>
    <row r="68" spans="1:18" x14ac:dyDescent="0.35">
      <c r="A68" t="s">
        <v>2</v>
      </c>
      <c r="B68" t="str">
        <f>+'[1]Población y Cobertura'!$B81</f>
        <v>Región Norte (nuevo)</v>
      </c>
      <c r="C68">
        <f>+'[1]Población y Cobertura'!D81</f>
        <v>1384457</v>
      </c>
      <c r="D68" s="3">
        <f>+'[1]Población y Cobertura'!F81</f>
        <v>1584321.9999999995</v>
      </c>
      <c r="E68" s="3">
        <f>+'[1]Población y Cobertura'!G81</f>
        <v>219276.27389183344</v>
      </c>
      <c r="F68" s="1">
        <f>+'[1]Población y Cobertura'!H81</f>
        <v>0.13840385596604321</v>
      </c>
      <c r="G68" s="3">
        <f>+'[1]Población y Cobertura'!J81</f>
        <v>1604758</v>
      </c>
      <c r="H68" s="3">
        <f>+'[1]Población y Cobertura'!K81</f>
        <v>221899.50430143601</v>
      </c>
      <c r="I68" s="1">
        <f>+'[1]Población y Cobertura'!L81</f>
        <v>0.13840385596604321</v>
      </c>
      <c r="J68" s="3">
        <f>+'[1]Población y Cobertura'!R81</f>
        <v>1625150.0002046824</v>
      </c>
      <c r="K68" s="3">
        <f>+'[1]Población y Cobertura'!S81</f>
        <v>224471.5749071021</v>
      </c>
      <c r="L68" s="3">
        <f>+'[1]Población y Cobertura'!T81</f>
        <v>13055</v>
      </c>
      <c r="M68" s="3">
        <f>+'[1]Población y Cobertura'!U81</f>
        <v>237526.5749071021</v>
      </c>
      <c r="N68" s="1">
        <f>+'[1]Población y Cobertura'!V81</f>
        <v>0.14615670853594215</v>
      </c>
      <c r="O68" s="3">
        <f>+'[1]Población y Cobertura'!X81</f>
        <v>93319</v>
      </c>
      <c r="P68" s="3">
        <f>+'[1]Población y Cobertura'!Y81</f>
        <v>330845.5749071021</v>
      </c>
      <c r="Q68" s="1">
        <f>+'[1]Población y Cobertura'!Z81</f>
        <v>0.20357848498011455</v>
      </c>
      <c r="R68" s="2">
        <f>+'[1]Población y Cobertura'!AA81</f>
        <v>2728.949167381536</v>
      </c>
    </row>
    <row r="69" spans="1:18" x14ac:dyDescent="0.35">
      <c r="A69" t="s">
        <v>2</v>
      </c>
      <c r="B69" t="str">
        <f>+'[1]Población y Cobertura'!$B82</f>
        <v>Merlo</v>
      </c>
      <c r="C69">
        <f>+'[1]Población y Cobertura'!D82</f>
        <v>531609</v>
      </c>
      <c r="D69" s="3">
        <f>+'[1]Población y Cobertura'!F82</f>
        <v>599118.99999999884</v>
      </c>
      <c r="E69" s="3">
        <f>+'[1]Población y Cobertura'!G82</f>
        <v>144264.48324584053</v>
      </c>
      <c r="F69" s="1">
        <f>+'[1]Población y Cobertura'!H82</f>
        <v>0.24079437181234581</v>
      </c>
      <c r="G69" s="3">
        <f>+'[1]Población y Cobertura'!J82</f>
        <v>606413.00000000105</v>
      </c>
      <c r="H69" s="3">
        <f>+'[1]Población y Cobertura'!K82</f>
        <v>147696.024711771</v>
      </c>
      <c r="I69" s="1">
        <f>+'[1]Población y Cobertura'!L82</f>
        <v>0.24079437181234581</v>
      </c>
      <c r="J69" s="3">
        <f>+'[1]Población y Cobertura'!R82</f>
        <v>613508.99991057301</v>
      </c>
      <c r="K69" s="3">
        <f>+'[1]Población y Cobertura'!S82</f>
        <v>149424.30391776873</v>
      </c>
      <c r="L69" s="3">
        <f>+'[1]Población y Cobertura'!T82</f>
        <v>0</v>
      </c>
      <c r="M69" s="3">
        <f>+'[1]Población y Cobertura'!U82</f>
        <v>149424.30391776873</v>
      </c>
      <c r="N69" s="1">
        <f>+'[1]Población y Cobertura'!V82</f>
        <v>0.2435568246587243</v>
      </c>
      <c r="O69" s="3">
        <f>+'[1]Población y Cobertura'!X82</f>
        <v>8824</v>
      </c>
      <c r="P69" s="3">
        <f>+'[1]Población y Cobertura'!Y82</f>
        <v>158248.30391776873</v>
      </c>
      <c r="Q69" s="1">
        <f>+'[1]Población y Cobertura'!Z82</f>
        <v>0.25793966175041522</v>
      </c>
      <c r="R69" s="2">
        <f>+'[1]Población y Cobertura'!AA82</f>
        <v>139.48117261519999</v>
      </c>
    </row>
    <row r="70" spans="1:18" x14ac:dyDescent="0.35">
      <c r="A70" t="s">
        <v>2</v>
      </c>
      <c r="B70" t="str">
        <f>+'[1]Población y Cobertura'!$B83</f>
        <v>Moreno</v>
      </c>
      <c r="C70">
        <f>+'[1]Población y Cobertura'!D83</f>
        <v>454416</v>
      </c>
      <c r="D70" s="3">
        <f>+'[1]Población y Cobertura'!F83</f>
        <v>533291.9999999993</v>
      </c>
      <c r="E70" s="3">
        <f>+'[1]Población y Cobertura'!G83</f>
        <v>158934.98427128905</v>
      </c>
      <c r="F70" s="1">
        <f>+'[1]Población y Cobertura'!H83</f>
        <v>0.29802619253858909</v>
      </c>
      <c r="G70" s="3">
        <f>+'[1]Población y Cobertura'!J83</f>
        <v>541690.99999999895</v>
      </c>
      <c r="H70" s="3">
        <f>+'[1]Población y Cobertura'!K83</f>
        <v>175188.669485669</v>
      </c>
      <c r="I70" s="1">
        <f>+'[1]Población y Cobertura'!L83</f>
        <v>0.29802619253858909</v>
      </c>
      <c r="J70" s="3">
        <f>+'[1]Población y Cobertura'!R83</f>
        <v>549929.99986339197</v>
      </c>
      <c r="K70" s="3">
        <f>+'[1]Población y Cobertura'!S83</f>
        <v>177853.2502595055</v>
      </c>
      <c r="L70" s="3">
        <f>+'[1]Población y Cobertura'!T83</f>
        <v>11794</v>
      </c>
      <c r="M70" s="3">
        <f>+'[1]Población y Cobertura'!U83</f>
        <v>189647.2502595055</v>
      </c>
      <c r="N70" s="1">
        <f>+'[1]Población y Cobertura'!V83</f>
        <v>0.34485707327590009</v>
      </c>
      <c r="O70" s="3">
        <f>+'[1]Población y Cobertura'!X83</f>
        <v>45193</v>
      </c>
      <c r="P70" s="3">
        <f>+'[1]Población y Cobertura'!Y83</f>
        <v>234840.2502595055</v>
      </c>
      <c r="Q70" s="1">
        <f>+'[1]Población y Cobertura'!Z83</f>
        <v>0.42703662342087562</v>
      </c>
      <c r="R70" s="2">
        <f>+'[1]Población y Cobertura'!AA83</f>
        <v>999.11245902613337</v>
      </c>
    </row>
    <row r="71" spans="1:18" x14ac:dyDescent="0.35">
      <c r="A71" t="s">
        <v>2</v>
      </c>
      <c r="B71" t="str">
        <f>+'[1]Población y Cobertura'!$B84</f>
        <v>Región Oeste (nuevo)</v>
      </c>
      <c r="C71">
        <f>+'[1]Población y Cobertura'!D84</f>
        <v>986025</v>
      </c>
      <c r="D71" s="3">
        <f>+'[1]Población y Cobertura'!F84</f>
        <v>1132410.9999999981</v>
      </c>
      <c r="E71" s="3">
        <f>+'[1]Población y Cobertura'!G84</f>
        <v>303199.46751712961</v>
      </c>
      <c r="F71" s="1">
        <f>+'[1]Población y Cobertura'!H84</f>
        <v>0.2677468406056901</v>
      </c>
      <c r="G71" s="3">
        <f>+'[1]Población y Cobertura'!J84</f>
        <v>1148104</v>
      </c>
      <c r="H71" s="3">
        <f>+'[1]Población y Cobertura'!K84</f>
        <v>322884.69419744099</v>
      </c>
      <c r="I71" s="1">
        <f>+'[1]Población y Cobertura'!L84</f>
        <v>0.2677468406056901</v>
      </c>
      <c r="J71" s="3">
        <f>+'[1]Población y Cobertura'!R84</f>
        <v>1163438.999773965</v>
      </c>
      <c r="K71" s="3">
        <f>+'[1]Población y Cobertura'!S84</f>
        <v>327277.55417727423</v>
      </c>
      <c r="L71" s="3">
        <f>+'[1]Población y Cobertura'!T84</f>
        <v>11794</v>
      </c>
      <c r="M71" s="3">
        <f>+'[1]Población y Cobertura'!U84</f>
        <v>339071.55417727423</v>
      </c>
      <c r="N71" s="1">
        <f>+'[1]Población y Cobertura'!V84</f>
        <v>0.29143904772244156</v>
      </c>
      <c r="O71" s="3">
        <f>+'[1]Población y Cobertura'!X84</f>
        <v>54017</v>
      </c>
      <c r="P71" s="3">
        <f>+'[1]Población y Cobertura'!Y84</f>
        <v>393088.55417727423</v>
      </c>
      <c r="Q71" s="1">
        <f>+'[1]Población y Cobertura'!Z84</f>
        <v>0.33786778185503852</v>
      </c>
      <c r="R71" s="2">
        <f>+'[1]Población y Cobertura'!AA84</f>
        <v>1138.5936316413333</v>
      </c>
    </row>
    <row r="72" spans="1:18" x14ac:dyDescent="0.35">
      <c r="A72" t="s">
        <v>2</v>
      </c>
      <c r="B72" t="str">
        <f>+'[1]Población y Cobertura'!$B85</f>
        <v>Florencio Varela</v>
      </c>
      <c r="C72">
        <f>+'[1]Población y Cobertura'!D85</f>
        <v>426738</v>
      </c>
      <c r="D72" s="3">
        <f>+'[1]Población y Cobertura'!F85</f>
        <v>508671.00000000035</v>
      </c>
      <c r="E72" s="3">
        <f>+'[1]Población y Cobertura'!G85</f>
        <v>220284.76694815303</v>
      </c>
      <c r="F72" s="1">
        <f>+'[1]Población y Cobertura'!H85</f>
        <v>0.43305941747839544</v>
      </c>
      <c r="G72" s="3">
        <f>+'[1]Población y Cobertura'!J85</f>
        <v>517082.00000000099</v>
      </c>
      <c r="H72" s="3">
        <f>+'[1]Población y Cobertura'!K85</f>
        <v>224080.01438353301</v>
      </c>
      <c r="I72" s="1">
        <f>+'[1]Población y Cobertura'!L85</f>
        <v>0.43305941747839544</v>
      </c>
      <c r="J72" s="3">
        <f>+'[1]Población y Cobertura'!R85</f>
        <v>525269.99995173595</v>
      </c>
      <c r="K72" s="3">
        <f>+'[1]Población y Cobertura'!S85</f>
        <v>227628.32422018825</v>
      </c>
      <c r="L72" s="3">
        <f>+'[1]Población y Cobertura'!T85</f>
        <v>0</v>
      </c>
      <c r="M72" s="3">
        <f>+'[1]Población y Cobertura'!U85</f>
        <v>227628.32422018825</v>
      </c>
      <c r="N72" s="1">
        <f>+'[1]Población y Cobertura'!V85</f>
        <v>0.43335489222895601</v>
      </c>
      <c r="O72" s="3">
        <f>+'[1]Población y Cobertura'!X85</f>
        <v>0</v>
      </c>
      <c r="P72" s="3">
        <f>+'[1]Población y Cobertura'!Y85</f>
        <v>227628.32422018825</v>
      </c>
      <c r="Q72" s="1">
        <f>+'[1]Población y Cobertura'!Z85</f>
        <v>0.43335489222895601</v>
      </c>
      <c r="R72" s="2">
        <f>+'[1]Población y Cobertura'!AA85</f>
        <v>0</v>
      </c>
    </row>
    <row r="73" spans="1:18" x14ac:dyDescent="0.35">
      <c r="A73" t="s">
        <v>2</v>
      </c>
      <c r="B73" t="str">
        <f>+'[1]Población y Cobertura'!$B86</f>
        <v>Región Sudeste (nuevo)</v>
      </c>
      <c r="C73">
        <f>+'[1]Población y Cobertura'!D86</f>
        <v>426738</v>
      </c>
      <c r="D73" s="3">
        <f>+'[1]Población y Cobertura'!F86</f>
        <v>508671.00000000035</v>
      </c>
      <c r="E73" s="3">
        <f>+'[1]Población y Cobertura'!G86</f>
        <v>220284.76694815303</v>
      </c>
      <c r="F73" s="1">
        <f>+'[1]Población y Cobertura'!H86</f>
        <v>0.43305941747839544</v>
      </c>
      <c r="G73" s="3">
        <f>+'[1]Población y Cobertura'!J86</f>
        <v>517082.00000000099</v>
      </c>
      <c r="H73" s="3">
        <f>+'[1]Población y Cobertura'!K86</f>
        <v>224080.01438353301</v>
      </c>
      <c r="I73" s="1">
        <f>+'[1]Población y Cobertura'!L86</f>
        <v>0.43305941747839544</v>
      </c>
      <c r="J73" s="3">
        <f>+'[1]Población y Cobertura'!R86</f>
        <v>525269.99995173595</v>
      </c>
      <c r="K73" s="3">
        <f>+'[1]Población y Cobertura'!S86</f>
        <v>227628.32422018825</v>
      </c>
      <c r="L73" s="3">
        <f>+'[1]Población y Cobertura'!T86</f>
        <v>0</v>
      </c>
      <c r="M73" s="3">
        <f>+'[1]Población y Cobertura'!U86</f>
        <v>227628.32422018825</v>
      </c>
      <c r="N73" s="1">
        <f>+'[1]Población y Cobertura'!V86</f>
        <v>0.43335489222895601</v>
      </c>
      <c r="O73" s="3">
        <f>+'[1]Población y Cobertura'!X86</f>
        <v>0</v>
      </c>
      <c r="P73" s="3">
        <f>+'[1]Población y Cobertura'!Y86</f>
        <v>227628.32422018825</v>
      </c>
      <c r="Q73" s="1">
        <f>+'[1]Población y Cobertura'!Z86</f>
        <v>0.43335489222895601</v>
      </c>
      <c r="R73" s="2">
        <f>+'[1]Población y Cobertura'!AA86</f>
        <v>0</v>
      </c>
    </row>
    <row r="74" spans="1:18" x14ac:dyDescent="0.35">
      <c r="A74" t="s">
        <v>2</v>
      </c>
      <c r="B74" t="str">
        <f>+'[1]Población y Cobertura'!$B87</f>
        <v>Presidente Perón</v>
      </c>
      <c r="C74">
        <f>+'[1]Población y Cobertura'!D87</f>
        <v>81166</v>
      </c>
      <c r="D74" s="3">
        <f>+'[1]Población y Cobertura'!F87</f>
        <v>103596.9999999998</v>
      </c>
      <c r="E74" s="3">
        <f>+'[1]Población y Cobertura'!G87</f>
        <v>55422.960879529674</v>
      </c>
      <c r="F74" s="1">
        <f>+'[1]Población y Cobertura'!H87</f>
        <v>0.53498615673745165</v>
      </c>
      <c r="G74" s="3">
        <f>+'[1]Población y Cobertura'!J87</f>
        <v>105918</v>
      </c>
      <c r="H74" s="3">
        <f>+'[1]Población y Cobertura'!K87</f>
        <v>56665.072986225903</v>
      </c>
      <c r="I74" s="1">
        <f>+'[1]Población y Cobertura'!L87</f>
        <v>0.53498615673745165</v>
      </c>
      <c r="J74" s="3">
        <f>+'[1]Población y Cobertura'!R87</f>
        <v>108203.000017194</v>
      </c>
      <c r="K74" s="3">
        <f>+'[1]Población y Cobertura'!S87</f>
        <v>57887.525192157147</v>
      </c>
      <c r="L74" s="3">
        <f>+'[1]Población y Cobertura'!T87</f>
        <v>0</v>
      </c>
      <c r="M74" s="3">
        <f>+'[1]Población y Cobertura'!U87</f>
        <v>57887.525192157147</v>
      </c>
      <c r="N74" s="1">
        <f>+'[1]Población y Cobertura'!V87</f>
        <v>0.53499002045191468</v>
      </c>
      <c r="O74" s="3">
        <f>+'[1]Población y Cobertura'!X87</f>
        <v>7619</v>
      </c>
      <c r="P74" s="3">
        <f>+'[1]Población y Cobertura'!Y87</f>
        <v>65506.525192157147</v>
      </c>
      <c r="Q74" s="1">
        <f>+'[1]Población y Cobertura'!Z87</f>
        <v>0.60540396460123869</v>
      </c>
      <c r="R74" s="2">
        <f>+'[1]Población y Cobertura'!AA87</f>
        <v>262.23276699302761</v>
      </c>
    </row>
    <row r="75" spans="1:18" x14ac:dyDescent="0.35">
      <c r="A75" t="s">
        <v>2</v>
      </c>
      <c r="B75" t="str">
        <f>+'[1]Población y Cobertura'!$B88</f>
        <v>Región Sudoeste (nuevo)</v>
      </c>
      <c r="C75">
        <f>+'[1]Población y Cobertura'!D88</f>
        <v>81166</v>
      </c>
      <c r="D75" s="3">
        <f>+'[1]Población y Cobertura'!F88</f>
        <v>103596.9999999998</v>
      </c>
      <c r="E75" s="3">
        <f>+'[1]Población y Cobertura'!G88</f>
        <v>55422.960879529674</v>
      </c>
      <c r="F75" s="1">
        <f>+'[1]Población y Cobertura'!H88</f>
        <v>0.53498615673745165</v>
      </c>
      <c r="G75" s="3">
        <f>+'[1]Población y Cobertura'!J88</f>
        <v>105918</v>
      </c>
      <c r="H75" s="3">
        <f>+'[1]Población y Cobertura'!K88</f>
        <v>56665.072986225903</v>
      </c>
      <c r="I75" s="1">
        <f>+'[1]Población y Cobertura'!L88</f>
        <v>0.53498615673745165</v>
      </c>
      <c r="J75" s="3">
        <f>+'[1]Población y Cobertura'!R88</f>
        <v>108203.000017194</v>
      </c>
      <c r="K75" s="3">
        <f>+'[1]Población y Cobertura'!S88</f>
        <v>57887.525192157147</v>
      </c>
      <c r="L75" s="3">
        <f>+'[1]Población y Cobertura'!T88</f>
        <v>0</v>
      </c>
      <c r="M75" s="3">
        <f>+'[1]Población y Cobertura'!U88</f>
        <v>57887.525192157147</v>
      </c>
      <c r="N75" s="1">
        <f>+'[1]Población y Cobertura'!V88</f>
        <v>0.53499002045191468</v>
      </c>
      <c r="O75" s="3">
        <f>+'[1]Población y Cobertura'!X88</f>
        <v>7619</v>
      </c>
      <c r="P75" s="3">
        <f>+'[1]Población y Cobertura'!Y88</f>
        <v>65506.525192157147</v>
      </c>
      <c r="Q75" s="1">
        <f>+'[1]Población y Cobertura'!Z88</f>
        <v>0.60540396460123869</v>
      </c>
      <c r="R75" s="2">
        <f>+'[1]Población y Cobertura'!AA88</f>
        <v>262.23276699302761</v>
      </c>
    </row>
    <row r="76" spans="1:18" x14ac:dyDescent="0.35">
      <c r="A76" t="s">
        <v>2</v>
      </c>
      <c r="B76" t="str">
        <f>+'[1]Población y Cobertura'!$B89</f>
        <v>Total Concesión (nuevo)</v>
      </c>
      <c r="C76">
        <f>+'[1]Población y Cobertura'!D89</f>
        <v>2878386</v>
      </c>
      <c r="D76" s="3">
        <f>+'[1]Población y Cobertura'!F89</f>
        <v>3329000.9999999981</v>
      </c>
      <c r="E76" s="3">
        <f>+'[1]Población y Cobertura'!G89</f>
        <v>798183.46923664573</v>
      </c>
      <c r="F76" s="1">
        <f>+'[1]Población y Cobertura'!H89</f>
        <v>0.23976666550615219</v>
      </c>
      <c r="G76" s="3">
        <f>+'[1]Población y Cobertura'!J89</f>
        <v>3375862</v>
      </c>
      <c r="H76" s="3">
        <f>+'[1]Población y Cobertura'!K89</f>
        <v>825529.28586863598</v>
      </c>
      <c r="I76" s="1">
        <f>+'[1]Población y Cobertura'!L89</f>
        <v>0.23976666550615219</v>
      </c>
      <c r="J76" s="3">
        <f>+'[1]Población y Cobertura'!R89</f>
        <v>3422061.9999475772</v>
      </c>
      <c r="K76" s="3">
        <f>+'[1]Población y Cobertura'!S89</f>
        <v>837264.97849672171</v>
      </c>
      <c r="L76" s="3">
        <f>+'[1]Población y Cobertura'!T89</f>
        <v>24849</v>
      </c>
      <c r="M76" s="3">
        <f>+'[1]Población y Cobertura'!U89</f>
        <v>862113.97849672171</v>
      </c>
      <c r="N76" s="1">
        <f>+'[1]Población y Cobertura'!V89</f>
        <v>0.25192821711293617</v>
      </c>
      <c r="O76" s="3">
        <f>+'[1]Población y Cobertura'!X89</f>
        <v>154955</v>
      </c>
      <c r="P76" s="3">
        <f>+'[1]Población y Cobertura'!Y89</f>
        <v>1017068.9784967217</v>
      </c>
      <c r="Q76" s="1">
        <f>+'[1]Población y Cobertura'!Z89</f>
        <v>0.29720939553763265</v>
      </c>
      <c r="R76" s="2">
        <f>+'[1]Población y Cobertura'!AA89</f>
        <v>4129.7755660158964</v>
      </c>
    </row>
    <row r="77" spans="1:18" x14ac:dyDescent="0.35">
      <c r="A77" t="s">
        <v>2</v>
      </c>
      <c r="B77" t="str">
        <f>+'[1]Población y Cobertura'!$B91</f>
        <v>Total AySA</v>
      </c>
      <c r="C77">
        <f>+'[1]Población y Cobertura'!D91</f>
        <v>13269229</v>
      </c>
      <c r="D77" s="3">
        <f>+'[1]Población y Cobertura'!F91</f>
        <v>14578530.000000007</v>
      </c>
      <c r="E77" s="3">
        <f>+'[1]Población y Cobertura'!G91</f>
        <v>8653933.4885023348</v>
      </c>
      <c r="F77" s="1">
        <f>+'[1]Población y Cobertura'!H91</f>
        <v>0.59360809961651351</v>
      </c>
      <c r="G77" s="3">
        <f>+'[1]Población y Cobertura'!J91</f>
        <v>14713137</v>
      </c>
      <c r="H77" s="3">
        <f>+'[1]Población y Cobertura'!K91</f>
        <v>8798979.3853000253</v>
      </c>
      <c r="I77" s="1">
        <f>+'[1]Población y Cobertura'!L91</f>
        <v>0.59803557768136228</v>
      </c>
      <c r="J77" s="3">
        <f>+'[1]Población y Cobertura'!R91</f>
        <v>14845512.998562185</v>
      </c>
      <c r="K77" s="3">
        <f>+'[1]Población y Cobertura'!S91</f>
        <v>8856971.088724209</v>
      </c>
      <c r="L77" s="3">
        <f>+'[1]Población y Cobertura'!T91</f>
        <v>234619</v>
      </c>
      <c r="M77" s="3">
        <f>+'[1]Población y Cobertura'!U91</f>
        <v>9091590.088724209</v>
      </c>
      <c r="N77" s="1">
        <f>+'[1]Población y Cobertura'!V91</f>
        <v>0.61241333254059638</v>
      </c>
      <c r="O77" s="3">
        <f>+'[1]Población y Cobertura'!X91</f>
        <v>1100579</v>
      </c>
      <c r="P77" s="3">
        <f>+'[1]Población y Cobertura'!Y91</f>
        <v>10192169.088724209</v>
      </c>
      <c r="Q77" s="1">
        <f>+'[1]Población y Cobertura'!Z91</f>
        <v>0.68654879691333937</v>
      </c>
      <c r="R77" s="2">
        <f>+'[1]Población y Cobertura'!AA91</f>
        <v>33846.879828613943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</dc:creator>
  <cp:lastModifiedBy>Juan I</cp:lastModifiedBy>
  <dcterms:created xsi:type="dcterms:W3CDTF">2021-09-07T12:09:01Z</dcterms:created>
  <dcterms:modified xsi:type="dcterms:W3CDTF">2021-09-07T12:41:53Z</dcterms:modified>
</cp:coreProperties>
</file>