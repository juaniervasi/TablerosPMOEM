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Juan\DirPMOEM\Tablero2\"/>
    </mc:Choice>
  </mc:AlternateContent>
  <xr:revisionPtr revIDLastSave="0" documentId="13_ncr:1_{576F28D2-B83F-448A-95EE-14C7A393D865}" xr6:coauthVersionLast="47" xr6:coauthVersionMax="47" xr10:uidLastSave="{00000000-0000-0000-0000-000000000000}"/>
  <bookViews>
    <workbookView xWindow="460" yWindow="360" windowWidth="18560" windowHeight="966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1" i="1" l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A22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A23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A24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A25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A26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A27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A28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A29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A30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A31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A32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A33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A34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A35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A36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A37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A38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A39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A40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A41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A42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A43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A44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A45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A46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A47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A48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A49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A50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A51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A52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A53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A54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A55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A56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A57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A58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A59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A60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A61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A62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A63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A64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A3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A4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A5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A6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A7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A8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A9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A10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A11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A12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A13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A14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A15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A16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A17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A18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A19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A20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B2" i="1"/>
  <c r="C2" i="1"/>
  <c r="D2" i="1"/>
  <c r="A2" i="1"/>
</calcChain>
</file>

<file path=xl/sharedStrings.xml><?xml version="1.0" encoding="utf-8"?>
<sst xmlns="http://schemas.openxmlformats.org/spreadsheetml/2006/main" count="22" uniqueCount="22">
  <si>
    <t>Fluido</t>
  </si>
  <si>
    <t>Asignación Presupuesto</t>
  </si>
  <si>
    <t>Financia</t>
  </si>
  <si>
    <t>Región</t>
  </si>
  <si>
    <t>Municipio</t>
  </si>
  <si>
    <t>Tipo de Obra</t>
  </si>
  <si>
    <t>Población</t>
  </si>
  <si>
    <t>P3</t>
  </si>
  <si>
    <t>Nombre de la Obra</t>
  </si>
  <si>
    <t>Estado Global</t>
  </si>
  <si>
    <t>Sub-Estado</t>
  </si>
  <si>
    <t>Clasificación Disponible</t>
  </si>
  <si>
    <t>Fecha Entrega Pliego Compromiso VIGENTE</t>
  </si>
  <si>
    <t>Responsable</t>
  </si>
  <si>
    <t>Fecha Publicación Programada Vigente</t>
  </si>
  <si>
    <t xml:space="preserve">Apertura </t>
  </si>
  <si>
    <t>Firma de contrato</t>
  </si>
  <si>
    <t>Orden de Inicio</t>
  </si>
  <si>
    <t>Plazo de Obra</t>
  </si>
  <si>
    <t>Fin Estimado</t>
  </si>
  <si>
    <t>Monto Vigente
$ con IVA</t>
  </si>
  <si>
    <t>Valores 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</si>
</sst>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G-Planilla%20UNIFICADO%2007.21%20Proyecci&#243;n%20obras%20en%20curso%20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 curso"/>
      <sheetName val="A Licitar"/>
    </sheetNames>
    <sheetDataSet>
      <sheetData sheetId="0"/>
      <sheetData sheetId="1">
        <row r="2">
          <cell r="A2" t="str">
            <v>A</v>
          </cell>
          <cell r="B2" t="str">
            <v>EXPANSIÓN</v>
          </cell>
          <cell r="C2" t="str">
            <v>AYSA</v>
          </cell>
          <cell r="D2" t="str">
            <v>NORTE</v>
          </cell>
          <cell r="E2" t="str">
            <v>TIGRE</v>
          </cell>
          <cell r="F2" t="str">
            <v>RED SECUNDARIA</v>
          </cell>
          <cell r="G2">
            <v>3824</v>
          </cell>
          <cell r="H2" t="str">
            <v>NA70001</v>
          </cell>
          <cell r="I2" t="str">
            <v>RED SECUNDARIA DE AGUA TALAR SUR - ZONA 1</v>
          </cell>
          <cell r="J2" t="str">
            <v>4-EN LICITACIÓN</v>
          </cell>
          <cell r="K2" t="str">
            <v>PARA APERTURA DE SOBRES
21-09-2021</v>
          </cell>
          <cell r="L2" t="str">
            <v>Pliego 2021</v>
          </cell>
          <cell r="M2">
            <v>44438</v>
          </cell>
          <cell r="N2" t="str">
            <v>DIP</v>
          </cell>
          <cell r="O2">
            <v>44438</v>
          </cell>
          <cell r="P2">
            <v>44460</v>
          </cell>
          <cell r="Q2">
            <v>44550</v>
          </cell>
          <cell r="R2">
            <v>44595</v>
          </cell>
          <cell r="S2">
            <v>390</v>
          </cell>
          <cell r="T2">
            <v>45045</v>
          </cell>
          <cell r="U2">
            <v>195473215.4716</v>
          </cell>
          <cell r="V2">
            <v>44378</v>
          </cell>
        </row>
        <row r="3">
          <cell r="A3" t="str">
            <v>A</v>
          </cell>
          <cell r="B3" t="str">
            <v>EXPANSIÓN</v>
          </cell>
          <cell r="C3" t="str">
            <v>AYSA</v>
          </cell>
          <cell r="D3" t="str">
            <v>NORTE</v>
          </cell>
          <cell r="E3" t="str">
            <v>TIGRE</v>
          </cell>
          <cell r="F3" t="str">
            <v>RED SECUNDARIA</v>
          </cell>
          <cell r="G3">
            <v>6932</v>
          </cell>
          <cell r="H3" t="str">
            <v>NA70217</v>
          </cell>
          <cell r="I3" t="str">
            <v>RED SECUNDARIA DE AGUA TALAR SUR - ZONA 2</v>
          </cell>
          <cell r="J3" t="str">
            <v>4-EN LICITACIÓN</v>
          </cell>
          <cell r="K3" t="str">
            <v>PARA APERTURA DE SOBRES
21-09-2021</v>
          </cell>
          <cell r="L3" t="str">
            <v>Pliego 2021</v>
          </cell>
          <cell r="M3">
            <v>44438</v>
          </cell>
          <cell r="N3" t="str">
            <v>DIP</v>
          </cell>
          <cell r="O3">
            <v>44438</v>
          </cell>
          <cell r="P3">
            <v>44460</v>
          </cell>
          <cell r="Q3">
            <v>44550</v>
          </cell>
          <cell r="R3">
            <v>44595</v>
          </cell>
          <cell r="S3">
            <v>300</v>
          </cell>
          <cell r="T3">
            <v>44955</v>
          </cell>
          <cell r="U3">
            <v>138866758.88030002</v>
          </cell>
          <cell r="V3">
            <v>44378</v>
          </cell>
        </row>
        <row r="4">
          <cell r="A4" t="str">
            <v>A</v>
          </cell>
          <cell r="B4" t="str">
            <v>EXPANSIÓN</v>
          </cell>
          <cell r="C4" t="str">
            <v>AYSA</v>
          </cell>
          <cell r="D4" t="str">
            <v>NORTE</v>
          </cell>
          <cell r="E4" t="str">
            <v>TIGRE</v>
          </cell>
          <cell r="F4" t="str">
            <v>RED SECUNDARIA</v>
          </cell>
          <cell r="G4">
            <v>1217</v>
          </cell>
          <cell r="H4" t="str">
            <v>NA70219</v>
          </cell>
          <cell r="I4" t="str">
            <v>RED SECUNDARIA DE AGUA TALAR SUR - ZONA 4</v>
          </cell>
          <cell r="J4" t="str">
            <v>4-EN LICITACIÓN</v>
          </cell>
          <cell r="K4" t="str">
            <v>PARA APERTURA DE SOBRES
22-09-2021</v>
          </cell>
          <cell r="L4" t="str">
            <v>Pliego 2021</v>
          </cell>
          <cell r="M4">
            <v>44438</v>
          </cell>
          <cell r="N4" t="str">
            <v>DIP</v>
          </cell>
          <cell r="O4">
            <v>44438</v>
          </cell>
          <cell r="P4">
            <v>44461</v>
          </cell>
          <cell r="Q4">
            <v>44551</v>
          </cell>
          <cell r="R4">
            <v>44596</v>
          </cell>
          <cell r="S4">
            <v>360</v>
          </cell>
          <cell r="T4">
            <v>45016</v>
          </cell>
          <cell r="U4">
            <v>86031636.980300009</v>
          </cell>
          <cell r="V4">
            <v>44378</v>
          </cell>
        </row>
        <row r="5">
          <cell r="A5" t="str">
            <v>A</v>
          </cell>
          <cell r="B5" t="str">
            <v>EXPANSIÓN</v>
          </cell>
          <cell r="C5" t="str">
            <v>AYSA</v>
          </cell>
          <cell r="D5" t="str">
            <v>NORTE</v>
          </cell>
          <cell r="E5" t="str">
            <v>TIGRE</v>
          </cell>
          <cell r="F5" t="str">
            <v>RED SECUNDARIA</v>
          </cell>
          <cell r="G5">
            <v>3857</v>
          </cell>
          <cell r="H5" t="str">
            <v>NA70218</v>
          </cell>
          <cell r="I5" t="str">
            <v>RED SECUNDARIA DE AGUA TALAR SUR - ZONA 3</v>
          </cell>
          <cell r="J5" t="str">
            <v>4-EN LICITACIÓN</v>
          </cell>
          <cell r="K5" t="str">
            <v>PARA APERTURA DE SOBRES
22-09-2021</v>
          </cell>
          <cell r="L5" t="str">
            <v>Pliego 2021</v>
          </cell>
          <cell r="M5">
            <v>44438</v>
          </cell>
          <cell r="N5" t="str">
            <v>DIP</v>
          </cell>
          <cell r="O5">
            <v>44438</v>
          </cell>
          <cell r="P5">
            <v>44461</v>
          </cell>
          <cell r="Q5">
            <v>44551</v>
          </cell>
          <cell r="R5">
            <v>44596</v>
          </cell>
          <cell r="S5">
            <v>360</v>
          </cell>
          <cell r="T5">
            <v>45016</v>
          </cell>
          <cell r="U5">
            <v>198387560.01569998</v>
          </cell>
          <cell r="V5">
            <v>44378</v>
          </cell>
        </row>
        <row r="6">
          <cell r="A6" t="str">
            <v>A</v>
          </cell>
          <cell r="B6" t="str">
            <v>EXPANSIÓN</v>
          </cell>
          <cell r="C6" t="str">
            <v>AYSA</v>
          </cell>
          <cell r="D6" t="str">
            <v>C.A.B.A.</v>
          </cell>
          <cell r="E6" t="str">
            <v>C.A.B.A.</v>
          </cell>
          <cell r="F6" t="str">
            <v>RED SECUNDARIA</v>
          </cell>
          <cell r="G6">
            <v>43000</v>
          </cell>
          <cell r="H6" t="str">
            <v>CA70050</v>
          </cell>
          <cell r="I6" t="str">
            <v>RENOVACIÓN E INSTALACIÓN DE RED DE AGUA BARRIO 1-11-14</v>
          </cell>
          <cell r="J6" t="str">
            <v>4-EN LICITACIÓN</v>
          </cell>
          <cell r="K6" t="str">
            <v>PARA APERTURA DE SOBRES
23-09-2021</v>
          </cell>
          <cell r="L6" t="str">
            <v>Pliego 2021</v>
          </cell>
          <cell r="M6">
            <v>44438</v>
          </cell>
          <cell r="N6" t="str">
            <v>DTyDT</v>
          </cell>
          <cell r="O6">
            <v>44438</v>
          </cell>
          <cell r="P6">
            <v>44462</v>
          </cell>
          <cell r="Q6">
            <v>44552</v>
          </cell>
          <cell r="R6">
            <v>44597</v>
          </cell>
          <cell r="S6">
            <v>330</v>
          </cell>
          <cell r="T6">
            <v>44987</v>
          </cell>
          <cell r="U6">
            <v>410128849.01999998</v>
          </cell>
          <cell r="V6">
            <v>44409</v>
          </cell>
        </row>
        <row r="7">
          <cell r="A7" t="str">
            <v>A</v>
          </cell>
          <cell r="B7" t="str">
            <v>EXPANSIÓN</v>
          </cell>
          <cell r="C7" t="str">
            <v>AYSA</v>
          </cell>
          <cell r="D7" t="str">
            <v>SUDOESTE</v>
          </cell>
          <cell r="E7" t="str">
            <v>ESTEBAN ECHEVERRÍA</v>
          </cell>
          <cell r="F7" t="str">
            <v>RED SECUNDARIA</v>
          </cell>
          <cell r="G7">
            <v>2990</v>
          </cell>
          <cell r="H7" t="str">
            <v>SA70277</v>
          </cell>
          <cell r="I7" t="str">
            <v>RED SECUNDARIA DE AGUA SANTA ISABEL - ETAPA 1</v>
          </cell>
          <cell r="J7" t="str">
            <v>4-EN LICITACIÓN</v>
          </cell>
          <cell r="K7" t="str">
            <v>A PUBLICAR</v>
          </cell>
          <cell r="L7" t="str">
            <v>Pliego 2021</v>
          </cell>
          <cell r="M7">
            <v>44438</v>
          </cell>
          <cell r="N7" t="str">
            <v>DIP</v>
          </cell>
          <cell r="O7">
            <v>44469</v>
          </cell>
          <cell r="P7">
            <v>44514</v>
          </cell>
          <cell r="Q7">
            <v>44604</v>
          </cell>
          <cell r="R7">
            <v>44649</v>
          </cell>
          <cell r="S7">
            <v>270</v>
          </cell>
          <cell r="T7">
            <v>44979</v>
          </cell>
          <cell r="U7">
            <v>92799875.979799986</v>
          </cell>
          <cell r="V7">
            <v>44409</v>
          </cell>
        </row>
        <row r="8">
          <cell r="A8" t="str">
            <v>C</v>
          </cell>
          <cell r="B8" t="str">
            <v>EXPANSIÓN</v>
          </cell>
          <cell r="C8" t="str">
            <v>BID 2 TRAMO 3</v>
          </cell>
          <cell r="D8" t="str">
            <v>NORTE</v>
          </cell>
          <cell r="E8" t="str">
            <v>TIGRE</v>
          </cell>
          <cell r="F8" t="str">
            <v>RED SECUNDARIA</v>
          </cell>
          <cell r="G8">
            <v>3629</v>
          </cell>
          <cell r="H8" t="str">
            <v>NC70157</v>
          </cell>
          <cell r="I8" t="str">
            <v>RED SECUNDARIA CLOACAL PUEBLO NUEVO 1 ESTE ÁREA 3</v>
          </cell>
          <cell r="J8" t="str">
            <v>4-EN LICITACIÓN</v>
          </cell>
          <cell r="K8" t="str">
            <v>A PUBLICAR</v>
          </cell>
          <cell r="L8" t="str">
            <v>Pliego 2021</v>
          </cell>
          <cell r="M8">
            <v>44438</v>
          </cell>
          <cell r="N8" t="str">
            <v>DIP</v>
          </cell>
          <cell r="O8">
            <v>44469</v>
          </cell>
          <cell r="P8">
            <v>44514</v>
          </cell>
          <cell r="Q8">
            <v>44604</v>
          </cell>
          <cell r="R8">
            <v>44649</v>
          </cell>
          <cell r="S8">
            <v>420</v>
          </cell>
          <cell r="T8">
            <v>45129</v>
          </cell>
          <cell r="U8">
            <v>204185962.33199999</v>
          </cell>
          <cell r="V8">
            <v>44378</v>
          </cell>
        </row>
        <row r="9">
          <cell r="A9" t="str">
            <v>A</v>
          </cell>
          <cell r="B9" t="str">
            <v>EXPANSIÓN</v>
          </cell>
          <cell r="C9" t="str">
            <v>AYSA</v>
          </cell>
          <cell r="D9" t="str">
            <v>C.A.B.A.</v>
          </cell>
          <cell r="E9" t="str">
            <v>C.A.B.A.</v>
          </cell>
          <cell r="F9" t="str">
            <v>RED SECUNDARIA</v>
          </cell>
          <cell r="G9">
            <v>75489</v>
          </cell>
          <cell r="H9" t="str">
            <v>CA70049</v>
          </cell>
          <cell r="I9" t="str">
            <v>RENOVACIÓN E INSTALACIÓN DE RED DE AGUA BARRIO 21-24</v>
          </cell>
          <cell r="J9" t="str">
            <v>5-EN PROYECTO</v>
          </cell>
          <cell r="K9" t="str">
            <v>PROY EN ELABORACIÓN</v>
          </cell>
          <cell r="L9" t="str">
            <v>Pliego 2021</v>
          </cell>
          <cell r="M9">
            <v>44438</v>
          </cell>
          <cell r="N9" t="str">
            <v>DTyDT</v>
          </cell>
          <cell r="O9">
            <v>44469</v>
          </cell>
          <cell r="P9">
            <v>44514</v>
          </cell>
          <cell r="Q9">
            <v>44604</v>
          </cell>
          <cell r="R9">
            <v>44649</v>
          </cell>
          <cell r="S9">
            <v>360</v>
          </cell>
          <cell r="T9">
            <v>45069</v>
          </cell>
          <cell r="U9">
            <v>300000000</v>
          </cell>
          <cell r="V9">
            <v>44197</v>
          </cell>
        </row>
        <row r="10">
          <cell r="A10" t="str">
            <v>A</v>
          </cell>
          <cell r="B10" t="str">
            <v>EXPANSIÓN</v>
          </cell>
          <cell r="C10" t="str">
            <v>AYSA</v>
          </cell>
          <cell r="D10" t="str">
            <v>NORTE</v>
          </cell>
          <cell r="E10" t="str">
            <v>TIGRE</v>
          </cell>
          <cell r="F10" t="str">
            <v>RED SECUNDARIA</v>
          </cell>
          <cell r="G10">
            <v>1800</v>
          </cell>
          <cell r="H10" t="str">
            <v>NA70009</v>
          </cell>
          <cell r="I10" t="str">
            <v>RED SECUNDARIA RICARDO ROJAS M4</v>
          </cell>
          <cell r="J10" t="str">
            <v>5-EN PROYECTO</v>
          </cell>
          <cell r="K10" t="str">
            <v>REALIZADO EN DI</v>
          </cell>
          <cell r="L10" t="str">
            <v>Pliego 2021</v>
          </cell>
          <cell r="M10">
            <v>44285</v>
          </cell>
          <cell r="N10" t="str">
            <v>DIP</v>
          </cell>
          <cell r="O10">
            <v>44469</v>
          </cell>
          <cell r="P10">
            <v>44514</v>
          </cell>
          <cell r="Q10">
            <v>44604</v>
          </cell>
          <cell r="R10">
            <v>44649</v>
          </cell>
          <cell r="S10">
            <v>240</v>
          </cell>
          <cell r="T10">
            <v>44949</v>
          </cell>
          <cell r="U10">
            <v>16217787.20531508</v>
          </cell>
          <cell r="V10">
            <v>43374</v>
          </cell>
        </row>
        <row r="11">
          <cell r="A11" t="str">
            <v>C</v>
          </cell>
          <cell r="B11" t="str">
            <v>EXPANSIÓN</v>
          </cell>
          <cell r="C11" t="str">
            <v>BID 2 TRAMO 3</v>
          </cell>
          <cell r="D11" t="str">
            <v>NORTE</v>
          </cell>
          <cell r="E11" t="str">
            <v>TIGRE</v>
          </cell>
          <cell r="F11" t="str">
            <v>RED SECUNDARIA</v>
          </cell>
          <cell r="G11">
            <v>7286</v>
          </cell>
          <cell r="H11" t="str">
            <v>NC70149</v>
          </cell>
          <cell r="I11" t="str">
            <v>RED SECUNDARIA CLOACAL 20 DE JULIO OESTE AREA 2</v>
          </cell>
          <cell r="J11" t="str">
            <v>5-EN PROYECTO</v>
          </cell>
          <cell r="K11" t="str">
            <v>REALIZADO EN DPT/DIP</v>
          </cell>
          <cell r="L11" t="str">
            <v>Pliego 2021</v>
          </cell>
          <cell r="M11">
            <v>44438</v>
          </cell>
          <cell r="N11" t="str">
            <v>DIP</v>
          </cell>
          <cell r="O11">
            <v>44469</v>
          </cell>
          <cell r="P11">
            <v>44514</v>
          </cell>
          <cell r="Q11">
            <v>44604</v>
          </cell>
          <cell r="R11">
            <v>44649</v>
          </cell>
          <cell r="S11">
            <v>480</v>
          </cell>
          <cell r="T11">
            <v>45189</v>
          </cell>
          <cell r="U11">
            <v>241159615.44086862</v>
          </cell>
          <cell r="V11">
            <v>44197</v>
          </cell>
        </row>
        <row r="12">
          <cell r="A12" t="str">
            <v>C</v>
          </cell>
          <cell r="B12" t="str">
            <v>EXPANSIÓN</v>
          </cell>
          <cell r="C12" t="str">
            <v>BID 2 TRAMO 3</v>
          </cell>
          <cell r="D12" t="str">
            <v>NORTE</v>
          </cell>
          <cell r="E12" t="str">
            <v>TIGRE</v>
          </cell>
          <cell r="F12" t="str">
            <v>RED SECUNDARIA</v>
          </cell>
          <cell r="G12">
            <v>3250</v>
          </cell>
          <cell r="H12" t="str">
            <v>NC70146</v>
          </cell>
          <cell r="I12" t="str">
            <v>RED SECUNDARIA CLOACAL LOMAS DEL TALAR OESTE - ZONA B</v>
          </cell>
          <cell r="J12" t="str">
            <v>5-EN PROYECTO</v>
          </cell>
          <cell r="K12" t="str">
            <v>REALIZADO EN DPT/DIP</v>
          </cell>
          <cell r="L12" t="str">
            <v>Pliego 2021</v>
          </cell>
          <cell r="M12">
            <v>44438</v>
          </cell>
          <cell r="N12" t="str">
            <v>DIP</v>
          </cell>
          <cell r="O12">
            <v>44469</v>
          </cell>
          <cell r="P12">
            <v>44514</v>
          </cell>
          <cell r="Q12">
            <v>44604</v>
          </cell>
          <cell r="R12">
            <v>44649</v>
          </cell>
          <cell r="S12">
            <v>330</v>
          </cell>
          <cell r="T12">
            <v>45039</v>
          </cell>
          <cell r="U12">
            <v>250639444.72456086</v>
          </cell>
          <cell r="V12">
            <v>44197</v>
          </cell>
        </row>
        <row r="13">
          <cell r="A13" t="str">
            <v>A</v>
          </cell>
          <cell r="B13" t="str">
            <v>EXPANSIÓN</v>
          </cell>
          <cell r="C13" t="str">
            <v>AYSA</v>
          </cell>
          <cell r="D13" t="str">
            <v>SUDOESTE</v>
          </cell>
          <cell r="E13" t="str">
            <v>LOMAS DE ZAMORA</v>
          </cell>
          <cell r="F13" t="str">
            <v>RED SECUNDARIA</v>
          </cell>
          <cell r="G13">
            <v>1878</v>
          </cell>
          <cell r="H13" t="str">
            <v>SA70138</v>
          </cell>
          <cell r="I13" t="str">
            <v>RED SECUNDARIA DE AGUA BARRIO OBRERO</v>
          </cell>
          <cell r="J13" t="str">
            <v>5-EN PROYECTO</v>
          </cell>
          <cell r="K13" t="str">
            <v>PROY EN ELABORACIÓN</v>
          </cell>
          <cell r="L13" t="str">
            <v>Pliego 2021</v>
          </cell>
          <cell r="M13">
            <v>44469</v>
          </cell>
          <cell r="N13" t="str">
            <v>DIP</v>
          </cell>
          <cell r="O13">
            <v>44499</v>
          </cell>
          <cell r="P13">
            <v>44544</v>
          </cell>
          <cell r="Q13">
            <v>44634</v>
          </cell>
          <cell r="R13">
            <v>44679</v>
          </cell>
          <cell r="S13">
            <v>240</v>
          </cell>
          <cell r="T13">
            <v>44979</v>
          </cell>
          <cell r="U13">
            <v>13815152.063786918</v>
          </cell>
          <cell r="V13">
            <v>43374</v>
          </cell>
        </row>
        <row r="14">
          <cell r="A14" t="str">
            <v>C</v>
          </cell>
          <cell r="B14" t="str">
            <v>EXPANSIÓN</v>
          </cell>
          <cell r="C14" t="str">
            <v>AYSA</v>
          </cell>
          <cell r="D14" t="str">
            <v>NORTE</v>
          </cell>
          <cell r="E14" t="str">
            <v>ESCOBAR</v>
          </cell>
          <cell r="F14" t="str">
            <v>RED SECUNDARIA</v>
          </cell>
          <cell r="G14">
            <v>4500</v>
          </cell>
          <cell r="H14" t="str">
            <v>NC70191</v>
          </cell>
          <cell r="I14" t="str">
            <v>RED SECUNDARIA CLOACAL BARRIO LA CHECHELA</v>
          </cell>
          <cell r="J14" t="str">
            <v>5-EN PROYECTO</v>
          </cell>
          <cell r="K14" t="str">
            <v>PROY EN ELABORACIÓN</v>
          </cell>
          <cell r="L14" t="str">
            <v>Pliego 2021</v>
          </cell>
          <cell r="M14">
            <v>44469</v>
          </cell>
          <cell r="N14" t="str">
            <v>DIP</v>
          </cell>
          <cell r="O14">
            <v>44499</v>
          </cell>
          <cell r="P14">
            <v>44544</v>
          </cell>
          <cell r="Q14">
            <v>44634</v>
          </cell>
          <cell r="R14">
            <v>44679</v>
          </cell>
          <cell r="S14">
            <v>360</v>
          </cell>
          <cell r="T14">
            <v>45099</v>
          </cell>
          <cell r="U14">
            <v>100000000</v>
          </cell>
          <cell r="V14">
            <v>44105</v>
          </cell>
        </row>
        <row r="15">
          <cell r="A15" t="str">
            <v>C</v>
          </cell>
          <cell r="B15" t="str">
            <v>EXPANSIÓN</v>
          </cell>
          <cell r="C15" t="str">
            <v>BID 2 TRAMO 3</v>
          </cell>
          <cell r="D15" t="str">
            <v>NORTE</v>
          </cell>
          <cell r="E15" t="str">
            <v>TIGRE</v>
          </cell>
          <cell r="F15" t="str">
            <v>RED SECUNDARIA</v>
          </cell>
          <cell r="G15">
            <v>15000</v>
          </cell>
          <cell r="H15" t="str">
            <v>NC70192</v>
          </cell>
          <cell r="I15" t="str">
            <v>RED SECUNDARIA CLOACAL DON TORCUATO ZONA C</v>
          </cell>
          <cell r="J15" t="str">
            <v>5-EN PROYECTO</v>
          </cell>
          <cell r="K15" t="str">
            <v>PROY EN ELABORACIÓN</v>
          </cell>
          <cell r="L15" t="str">
            <v>Pliego 2021</v>
          </cell>
          <cell r="M15">
            <v>44469</v>
          </cell>
          <cell r="N15" t="str">
            <v>DIP</v>
          </cell>
          <cell r="O15">
            <v>44499</v>
          </cell>
          <cell r="P15">
            <v>44544</v>
          </cell>
          <cell r="Q15">
            <v>44634</v>
          </cell>
          <cell r="R15">
            <v>44679</v>
          </cell>
          <cell r="S15">
            <v>720</v>
          </cell>
          <cell r="T15">
            <v>45459</v>
          </cell>
          <cell r="U15">
            <v>620996200</v>
          </cell>
          <cell r="V15">
            <v>43374</v>
          </cell>
        </row>
        <row r="16">
          <cell r="A16" t="str">
            <v>C</v>
          </cell>
          <cell r="B16" t="str">
            <v>EXPANSIÓN</v>
          </cell>
          <cell r="C16" t="str">
            <v>BID 2 TRAMO 3</v>
          </cell>
          <cell r="D16" t="str">
            <v>NORTE</v>
          </cell>
          <cell r="E16" t="str">
            <v>TIGRE</v>
          </cell>
          <cell r="F16" t="str">
            <v>RED SECUNDARIA</v>
          </cell>
          <cell r="G16">
            <v>3250</v>
          </cell>
          <cell r="H16" t="str">
            <v>NC70041</v>
          </cell>
          <cell r="I16" t="str">
            <v>RED SECUNDARIA CLOACAL LOMAS DEL TALAR OESTE - ZONA A</v>
          </cell>
          <cell r="J16" t="str">
            <v>5-EN PROYECTO</v>
          </cell>
          <cell r="K16" t="str">
            <v>REALIZADO EN DPT/DIP</v>
          </cell>
          <cell r="L16" t="str">
            <v>Pliego 2021</v>
          </cell>
          <cell r="M16">
            <v>44469</v>
          </cell>
          <cell r="N16" t="str">
            <v>DIP</v>
          </cell>
          <cell r="O16">
            <v>44499</v>
          </cell>
          <cell r="P16">
            <v>44544</v>
          </cell>
          <cell r="Q16">
            <v>44634</v>
          </cell>
          <cell r="R16">
            <v>44679</v>
          </cell>
          <cell r="S16">
            <v>330</v>
          </cell>
          <cell r="T16">
            <v>45069</v>
          </cell>
          <cell r="U16">
            <v>265183799.92963099</v>
          </cell>
          <cell r="V16">
            <v>44197</v>
          </cell>
        </row>
        <row r="17">
          <cell r="A17" t="str">
            <v>C</v>
          </cell>
          <cell r="B17" t="str">
            <v>EXPANSIÓN</v>
          </cell>
          <cell r="C17" t="str">
            <v>BID 2 TRAMO 3</v>
          </cell>
          <cell r="D17" t="str">
            <v>NORTE</v>
          </cell>
          <cell r="E17" t="str">
            <v>TIGRE</v>
          </cell>
          <cell r="F17" t="str">
            <v>RED SECUNDARIA</v>
          </cell>
          <cell r="G17">
            <v>7000</v>
          </cell>
          <cell r="H17" t="str">
            <v>NC70039</v>
          </cell>
          <cell r="I17" t="str">
            <v>RED SECUNDARIA CLOACAL LOMAS DEL TALAR ESTE</v>
          </cell>
          <cell r="J17" t="str">
            <v>5-EN PROYECTO</v>
          </cell>
          <cell r="K17" t="str">
            <v>REALIZADO EN DPT/DIP</v>
          </cell>
          <cell r="L17" t="str">
            <v>Pliego 2021</v>
          </cell>
          <cell r="M17">
            <v>44469</v>
          </cell>
          <cell r="N17" t="str">
            <v>DIP</v>
          </cell>
          <cell r="O17">
            <v>44499</v>
          </cell>
          <cell r="P17">
            <v>44544</v>
          </cell>
          <cell r="Q17">
            <v>44634</v>
          </cell>
          <cell r="R17">
            <v>44679</v>
          </cell>
          <cell r="S17">
            <v>390</v>
          </cell>
          <cell r="T17">
            <v>45129</v>
          </cell>
          <cell r="U17">
            <v>344870523.93657172</v>
          </cell>
          <cell r="V17">
            <v>44197</v>
          </cell>
        </row>
        <row r="18">
          <cell r="A18" t="str">
            <v>C</v>
          </cell>
          <cell r="B18" t="str">
            <v>EXPANSIÓN</v>
          </cell>
          <cell r="C18" t="str">
            <v>BID 2 TRAMO 3</v>
          </cell>
          <cell r="D18" t="str">
            <v>NORTE</v>
          </cell>
          <cell r="E18" t="str">
            <v>TIGRE</v>
          </cell>
          <cell r="F18" t="str">
            <v>RED SECUNDARIA</v>
          </cell>
          <cell r="G18">
            <v>3148</v>
          </cell>
          <cell r="H18" t="str">
            <v>S/P3</v>
          </cell>
          <cell r="I18" t="str">
            <v>RED SECUNDARIA CLOACAL LÓPEZ CAMELO SUR RESTO</v>
          </cell>
          <cell r="J18" t="str">
            <v>5-EN PROYECTO</v>
          </cell>
          <cell r="K18" t="str">
            <v>PROY A ELABORAR</v>
          </cell>
          <cell r="L18" t="str">
            <v>Pliego 2021</v>
          </cell>
          <cell r="M18">
            <v>44499</v>
          </cell>
          <cell r="N18" t="str">
            <v>DIP</v>
          </cell>
          <cell r="O18">
            <v>44530</v>
          </cell>
          <cell r="P18">
            <v>44575</v>
          </cell>
          <cell r="Q18">
            <v>44665</v>
          </cell>
          <cell r="R18">
            <v>44710</v>
          </cell>
          <cell r="S18">
            <v>510</v>
          </cell>
          <cell r="T18">
            <v>45280</v>
          </cell>
          <cell r="U18">
            <v>207539200</v>
          </cell>
          <cell r="V18">
            <v>43374</v>
          </cell>
        </row>
        <row r="19">
          <cell r="A19" t="str">
            <v>C</v>
          </cell>
          <cell r="B19" t="str">
            <v>EXPANSIÓN</v>
          </cell>
          <cell r="C19" t="str">
            <v>AYSA</v>
          </cell>
          <cell r="D19" t="str">
            <v>NORTE</v>
          </cell>
          <cell r="E19" t="str">
            <v>MALVINAS ARGENTINAS</v>
          </cell>
          <cell r="F19" t="str">
            <v>RED SECUNDARIA</v>
          </cell>
          <cell r="G19">
            <v>2190</v>
          </cell>
          <cell r="H19" t="str">
            <v>NC70199</v>
          </cell>
          <cell r="I19" t="str">
            <v>RED SECUNDARIA CLOACAL VILLA DE MAYO 1 - RESTO</v>
          </cell>
          <cell r="J19" t="str">
            <v>5-EN PROYECTO</v>
          </cell>
          <cell r="K19" t="str">
            <v>PROY EN ELABORACIÓN</v>
          </cell>
          <cell r="L19" t="str">
            <v>Pliego 2021</v>
          </cell>
          <cell r="M19">
            <v>44530</v>
          </cell>
          <cell r="N19" t="str">
            <v>DIP</v>
          </cell>
          <cell r="O19">
            <v>44560</v>
          </cell>
          <cell r="P19">
            <v>44605</v>
          </cell>
          <cell r="Q19">
            <v>44695</v>
          </cell>
          <cell r="R19">
            <v>44740</v>
          </cell>
          <cell r="S19">
            <v>300</v>
          </cell>
          <cell r="T19">
            <v>45100</v>
          </cell>
          <cell r="U19">
            <v>112215051.33849999</v>
          </cell>
          <cell r="V19">
            <v>44287</v>
          </cell>
        </row>
        <row r="20">
          <cell r="A20" t="str">
            <v>C</v>
          </cell>
          <cell r="B20" t="str">
            <v>EXPANSIÓN</v>
          </cell>
          <cell r="C20" t="str">
            <v>AYSA</v>
          </cell>
          <cell r="D20" t="str">
            <v>NORTE</v>
          </cell>
          <cell r="E20" t="str">
            <v>MALVINAS ARGENTINAS</v>
          </cell>
          <cell r="F20" t="str">
            <v>RED SECUNDARIA</v>
          </cell>
          <cell r="G20">
            <v>7927</v>
          </cell>
          <cell r="H20" t="str">
            <v>NC70200</v>
          </cell>
          <cell r="I20" t="str">
            <v>RED SECUNDARIA CLOACAL VILLA DE MAYO 2</v>
          </cell>
          <cell r="J20" t="str">
            <v>5-EN PROYECTO</v>
          </cell>
          <cell r="K20" t="str">
            <v>PROY EN ELABORACIÓN</v>
          </cell>
          <cell r="L20" t="str">
            <v>Pliego 2021</v>
          </cell>
          <cell r="M20">
            <v>44530</v>
          </cell>
          <cell r="N20" t="str">
            <v>DIP</v>
          </cell>
          <cell r="O20">
            <v>44560</v>
          </cell>
          <cell r="P20">
            <v>44605</v>
          </cell>
          <cell r="Q20">
            <v>44695</v>
          </cell>
          <cell r="R20">
            <v>44740</v>
          </cell>
          <cell r="S20">
            <v>300</v>
          </cell>
          <cell r="T20">
            <v>45100</v>
          </cell>
          <cell r="U20">
            <v>112215051.33849999</v>
          </cell>
          <cell r="V20">
            <v>44287</v>
          </cell>
        </row>
        <row r="21">
          <cell r="A21" t="str">
            <v>C</v>
          </cell>
          <cell r="B21" t="str">
            <v>EXPANSIÓN</v>
          </cell>
          <cell r="C21" t="str">
            <v>AYSA</v>
          </cell>
          <cell r="D21" t="str">
            <v>NORTE</v>
          </cell>
          <cell r="E21" t="str">
            <v>TIGRE</v>
          </cell>
          <cell r="F21" t="str">
            <v>RED SECUNDARIA</v>
          </cell>
          <cell r="H21" t="str">
            <v>S/P3</v>
          </cell>
          <cell r="I21" t="str">
            <v>RED SECUNDARIA CLOACAL PUEBLO NUEVO SUR RESTO</v>
          </cell>
          <cell r="J21" t="str">
            <v>5-EN PROYECTO</v>
          </cell>
          <cell r="K21" t="str">
            <v>PROY EN ELABORACIÓN</v>
          </cell>
          <cell r="L21" t="str">
            <v>Pliego 2021</v>
          </cell>
          <cell r="M21">
            <v>44530</v>
          </cell>
          <cell r="N21" t="str">
            <v>DIP</v>
          </cell>
          <cell r="O21">
            <v>44560</v>
          </cell>
          <cell r="P21">
            <v>44605</v>
          </cell>
          <cell r="Q21">
            <v>44695</v>
          </cell>
          <cell r="R21">
            <v>44740</v>
          </cell>
          <cell r="S21">
            <v>720</v>
          </cell>
          <cell r="T21">
            <v>45520</v>
          </cell>
          <cell r="U21">
            <v>620996200</v>
          </cell>
          <cell r="V21">
            <v>43374</v>
          </cell>
        </row>
        <row r="22">
          <cell r="A22" t="str">
            <v>C</v>
          </cell>
          <cell r="B22" t="str">
            <v>EXPANSIÓN</v>
          </cell>
          <cell r="C22" t="str">
            <v>AYSA</v>
          </cell>
          <cell r="D22" t="str">
            <v>OESTE</v>
          </cell>
          <cell r="E22" t="str">
            <v>ITUZAINGÓ</v>
          </cell>
          <cell r="F22" t="str">
            <v>RED SECUNDARIA</v>
          </cell>
          <cell r="G22">
            <v>8174</v>
          </cell>
          <cell r="H22" t="str">
            <v>OC70227</v>
          </cell>
          <cell r="I22" t="str">
            <v>RED SECUNDARIA CLOACAL COLECTOR MARTÍN RODRÍGUEZ ETAPA 2 - CUENCA II</v>
          </cell>
          <cell r="J22" t="str">
            <v>5-EN PROYECTO</v>
          </cell>
          <cell r="K22" t="str">
            <v>REALIZADO EN DPT/DIP</v>
          </cell>
          <cell r="L22" t="str">
            <v>Pliego 2021</v>
          </cell>
          <cell r="M22">
            <v>44530</v>
          </cell>
          <cell r="N22" t="str">
            <v>DIP</v>
          </cell>
          <cell r="O22">
            <v>44560</v>
          </cell>
          <cell r="P22">
            <v>44605</v>
          </cell>
          <cell r="Q22">
            <v>44695</v>
          </cell>
          <cell r="R22">
            <v>44740</v>
          </cell>
          <cell r="S22">
            <v>370</v>
          </cell>
          <cell r="T22">
            <v>45170</v>
          </cell>
          <cell r="U22">
            <v>419893896.72714639</v>
          </cell>
          <cell r="V22">
            <v>44197</v>
          </cell>
        </row>
        <row r="23">
          <cell r="A23" t="str">
            <v>C</v>
          </cell>
          <cell r="B23" t="str">
            <v>EXPANSIÓN</v>
          </cell>
          <cell r="C23" t="str">
            <v>AYSA</v>
          </cell>
          <cell r="D23" t="str">
            <v>C.A.B.A.</v>
          </cell>
          <cell r="E23" t="str">
            <v>C.A.B.A.</v>
          </cell>
          <cell r="F23" t="str">
            <v>RED SECUNDARIA</v>
          </cell>
          <cell r="H23" t="str">
            <v>S/P3</v>
          </cell>
          <cell r="I23" t="str">
            <v>CONVENIO CABA-AYSA Villa 21-24</v>
          </cell>
          <cell r="J23" t="str">
            <v>5-EN PROYECTO</v>
          </cell>
          <cell r="K23" t="str">
            <v>PROY EN ELABORACIÓN</v>
          </cell>
          <cell r="L23" t="str">
            <v>Pliego 2021</v>
          </cell>
          <cell r="M23">
            <v>44560</v>
          </cell>
          <cell r="N23" t="str">
            <v>DIP</v>
          </cell>
          <cell r="O23">
            <v>44591</v>
          </cell>
          <cell r="P23">
            <v>44636</v>
          </cell>
          <cell r="Q23">
            <v>44726</v>
          </cell>
          <cell r="R23">
            <v>44771</v>
          </cell>
          <cell r="S23">
            <v>360</v>
          </cell>
          <cell r="T23">
            <v>45191</v>
          </cell>
          <cell r="U23">
            <v>93921645.687430009</v>
          </cell>
          <cell r="V23">
            <v>43374</v>
          </cell>
        </row>
        <row r="24">
          <cell r="A24" t="str">
            <v>C</v>
          </cell>
          <cell r="B24" t="str">
            <v>EXPANSIÓN</v>
          </cell>
          <cell r="C24" t="str">
            <v>BID 2 TRAMO 3</v>
          </cell>
          <cell r="D24" t="str">
            <v>NORTE</v>
          </cell>
          <cell r="E24" t="str">
            <v>TIGRE</v>
          </cell>
          <cell r="F24" t="str">
            <v>RED SECUNDARIA</v>
          </cell>
          <cell r="G24">
            <v>3049</v>
          </cell>
          <cell r="H24" t="str">
            <v>NC70038</v>
          </cell>
          <cell r="I24" t="str">
            <v>RED SECUNDARIA CLOACAL GOLF</v>
          </cell>
          <cell r="J24" t="str">
            <v>5-EN PROYECTO</v>
          </cell>
          <cell r="K24" t="str">
            <v>REALIZADO EN DPT/DIP</v>
          </cell>
          <cell r="L24" t="str">
            <v>Pliego 2021</v>
          </cell>
          <cell r="M24">
            <v>44560</v>
          </cell>
          <cell r="N24" t="str">
            <v>DIP</v>
          </cell>
          <cell r="O24">
            <v>44591</v>
          </cell>
          <cell r="P24">
            <v>44636</v>
          </cell>
          <cell r="Q24">
            <v>44726</v>
          </cell>
          <cell r="R24">
            <v>44771</v>
          </cell>
          <cell r="S24">
            <v>330</v>
          </cell>
          <cell r="T24">
            <v>45161</v>
          </cell>
          <cell r="U24">
            <v>179228022.3948037</v>
          </cell>
          <cell r="V24">
            <v>44197</v>
          </cell>
        </row>
        <row r="25">
          <cell r="A25" t="str">
            <v>C</v>
          </cell>
          <cell r="B25" t="str">
            <v>EXPANSIÓN</v>
          </cell>
          <cell r="C25" t="str">
            <v>AYSA</v>
          </cell>
          <cell r="D25" t="str">
            <v>C.A.B.A.</v>
          </cell>
          <cell r="E25" t="str">
            <v>C.A.B.A.</v>
          </cell>
          <cell r="F25" t="str">
            <v>RED SECUNDARIA</v>
          </cell>
          <cell r="H25" t="str">
            <v>S/P3</v>
          </cell>
          <cell r="I25" t="str">
            <v>CONVENIO CABA-AYSA Villa 11-14</v>
          </cell>
          <cell r="J25" t="str">
            <v>5-EN PROYECTO</v>
          </cell>
          <cell r="K25" t="str">
            <v>PROY A ELABORAR</v>
          </cell>
          <cell r="L25" t="str">
            <v>Pliego 2022</v>
          </cell>
          <cell r="M25">
            <v>44591</v>
          </cell>
          <cell r="N25" t="str">
            <v>DTyDT</v>
          </cell>
          <cell r="O25">
            <v>44620</v>
          </cell>
          <cell r="P25">
            <v>44665</v>
          </cell>
          <cell r="Q25">
            <v>44755</v>
          </cell>
          <cell r="R25">
            <v>44800</v>
          </cell>
          <cell r="S25">
            <v>360</v>
          </cell>
          <cell r="T25">
            <v>45220</v>
          </cell>
          <cell r="U25">
            <v>50000000</v>
          </cell>
          <cell r="V25">
            <v>44197</v>
          </cell>
        </row>
        <row r="26">
          <cell r="A26" t="str">
            <v>C</v>
          </cell>
          <cell r="B26" t="str">
            <v>EXPANSIÓN</v>
          </cell>
          <cell r="C26" t="str">
            <v>AYSA</v>
          </cell>
          <cell r="D26" t="str">
            <v>SUDOESTE</v>
          </cell>
          <cell r="E26" t="str">
            <v>ESTEBAN ECHEVERRÍA</v>
          </cell>
          <cell r="F26" t="str">
            <v>RED SECUNDARIA</v>
          </cell>
          <cell r="G26">
            <v>12649</v>
          </cell>
          <cell r="H26" t="str">
            <v>SC70048</v>
          </cell>
          <cell r="I26" t="str">
            <v>RED SECUNDARIA CLOACAL SANTA CATALINA 3° ETAPA</v>
          </cell>
          <cell r="J26" t="str">
            <v>5-EN PROYECTO</v>
          </cell>
          <cell r="K26" t="str">
            <v>PROY ELAB A ACTUALIZAR</v>
          </cell>
          <cell r="L26" t="str">
            <v>Pliego 2022</v>
          </cell>
          <cell r="M26">
            <v>44591</v>
          </cell>
          <cell r="N26" t="str">
            <v>DIP</v>
          </cell>
          <cell r="O26">
            <v>44620</v>
          </cell>
          <cell r="P26">
            <v>44665</v>
          </cell>
          <cell r="Q26">
            <v>44755</v>
          </cell>
          <cell r="R26">
            <v>44800</v>
          </cell>
          <cell r="S26">
            <v>600</v>
          </cell>
          <cell r="T26">
            <v>45460</v>
          </cell>
          <cell r="U26">
            <v>264288200</v>
          </cell>
          <cell r="V26">
            <v>43374</v>
          </cell>
        </row>
        <row r="27">
          <cell r="A27" t="str">
            <v>C</v>
          </cell>
          <cell r="B27" t="str">
            <v>EXPANSIÓN</v>
          </cell>
          <cell r="C27" t="str">
            <v>BID 2 TRAMO 3 y BEI</v>
          </cell>
          <cell r="D27" t="str">
            <v>NORTE</v>
          </cell>
          <cell r="E27" t="str">
            <v>ESCOBAR</v>
          </cell>
          <cell r="F27" t="str">
            <v>RED SECUNDARIA</v>
          </cell>
          <cell r="G27">
            <v>2143</v>
          </cell>
          <cell r="H27" t="str">
            <v>NC70009</v>
          </cell>
          <cell r="I27" t="str">
            <v>RED SECUNDARIA CLOACAL ING. MASCHWITZ III</v>
          </cell>
          <cell r="J27" t="str">
            <v>5-EN PROYECTO</v>
          </cell>
          <cell r="K27" t="str">
            <v>PROY EN ELABORACIÓN</v>
          </cell>
          <cell r="L27" t="str">
            <v>Pliego 2022</v>
          </cell>
          <cell r="M27">
            <v>44591</v>
          </cell>
          <cell r="N27" t="str">
            <v>DIP</v>
          </cell>
          <cell r="O27">
            <v>44620</v>
          </cell>
          <cell r="P27">
            <v>44665</v>
          </cell>
          <cell r="Q27">
            <v>44755</v>
          </cell>
          <cell r="R27">
            <v>44800</v>
          </cell>
          <cell r="S27">
            <v>540</v>
          </cell>
          <cell r="T27">
            <v>45400</v>
          </cell>
          <cell r="U27">
            <v>229530886.73346278</v>
          </cell>
          <cell r="V27">
            <v>43952</v>
          </cell>
        </row>
        <row r="28">
          <cell r="A28" t="str">
            <v>C</v>
          </cell>
          <cell r="B28" t="str">
            <v>EXPANSIÓN</v>
          </cell>
          <cell r="C28" t="str">
            <v>AYSA</v>
          </cell>
          <cell r="D28" t="str">
            <v>SUDESTE</v>
          </cell>
          <cell r="E28" t="str">
            <v>QUILMES</v>
          </cell>
          <cell r="F28" t="str">
            <v>RED SECUNDARIA</v>
          </cell>
          <cell r="G28">
            <v>6516</v>
          </cell>
          <cell r="H28" t="str">
            <v>SC452</v>
          </cell>
          <cell r="I28" t="str">
            <v>RED SECUNDARIA LAS PIEDRAS SUR CUENCA B - QUILMES</v>
          </cell>
          <cell r="J28" t="str">
            <v>5-EN PROYECTO</v>
          </cell>
          <cell r="K28" t="str">
            <v>PROY EN ELABORACIÓN</v>
          </cell>
          <cell r="L28" t="str">
            <v>Pliego 2022</v>
          </cell>
          <cell r="M28">
            <v>44591</v>
          </cell>
          <cell r="N28" t="str">
            <v>DIP</v>
          </cell>
          <cell r="O28">
            <v>44620</v>
          </cell>
          <cell r="P28">
            <v>44665</v>
          </cell>
          <cell r="Q28">
            <v>44755</v>
          </cell>
          <cell r="R28">
            <v>44800</v>
          </cell>
          <cell r="S28">
            <v>420</v>
          </cell>
          <cell r="T28">
            <v>45280</v>
          </cell>
          <cell r="U28">
            <v>130385978.98349875</v>
          </cell>
          <cell r="V28">
            <v>43922</v>
          </cell>
        </row>
        <row r="29">
          <cell r="A29" t="str">
            <v>C</v>
          </cell>
          <cell r="B29" t="str">
            <v>EXPANSIÓN</v>
          </cell>
          <cell r="C29" t="str">
            <v>AYSA</v>
          </cell>
          <cell r="D29" t="str">
            <v>SUDOESTE</v>
          </cell>
          <cell r="E29" t="str">
            <v>LOMAS DE ZAMORA</v>
          </cell>
          <cell r="F29" t="str">
            <v>RED SECUNDARIA</v>
          </cell>
          <cell r="G29">
            <v>15847</v>
          </cell>
          <cell r="H29" t="str">
            <v>SC70127</v>
          </cell>
          <cell r="I29" t="str">
            <v>RED SECUNDARIA CLOACAL VETERE 1</v>
          </cell>
          <cell r="J29" t="str">
            <v>5-EN PROYECTO</v>
          </cell>
          <cell r="K29" t="str">
            <v>REALIZADO EN DPT/DIP</v>
          </cell>
          <cell r="L29" t="str">
            <v>Pliego 2022</v>
          </cell>
          <cell r="M29">
            <v>44591</v>
          </cell>
          <cell r="N29" t="str">
            <v>DIP</v>
          </cell>
          <cell r="O29">
            <v>44620</v>
          </cell>
          <cell r="P29">
            <v>44665</v>
          </cell>
          <cell r="Q29">
            <v>44755</v>
          </cell>
          <cell r="R29">
            <v>44800</v>
          </cell>
          <cell r="S29">
            <v>780</v>
          </cell>
          <cell r="T29">
            <v>45640</v>
          </cell>
          <cell r="U29">
            <v>621015014.4996531</v>
          </cell>
          <cell r="V29">
            <v>44197</v>
          </cell>
        </row>
        <row r="30">
          <cell r="A30" t="str">
            <v>A</v>
          </cell>
          <cell r="B30" t="str">
            <v>EXPANSIÓN</v>
          </cell>
          <cell r="C30" t="str">
            <v>AYSA</v>
          </cell>
          <cell r="D30" t="str">
            <v>NORTE</v>
          </cell>
          <cell r="E30" t="str">
            <v>PILAR</v>
          </cell>
          <cell r="F30" t="str">
            <v>RED SECUNDARIA</v>
          </cell>
          <cell r="G30">
            <v>24500</v>
          </cell>
          <cell r="H30" t="str">
            <v>NA70225</v>
          </cell>
          <cell r="I30" t="str">
            <v>RED SECUNDARIA DE AGUA - PILAR 3 - Z2 (Barrio Monterrey)</v>
          </cell>
          <cell r="J30" t="str">
            <v>5-EN PROYECTO</v>
          </cell>
          <cell r="K30" t="str">
            <v>PROY EN ELABORACIÓN</v>
          </cell>
          <cell r="L30" t="str">
            <v>Pliego 2022</v>
          </cell>
          <cell r="M30">
            <v>44620</v>
          </cell>
          <cell r="N30" t="str">
            <v>DIP</v>
          </cell>
          <cell r="O30">
            <v>44650</v>
          </cell>
          <cell r="P30">
            <v>44695</v>
          </cell>
          <cell r="Q30">
            <v>44785</v>
          </cell>
          <cell r="R30">
            <v>44830</v>
          </cell>
          <cell r="S30">
            <v>660</v>
          </cell>
          <cell r="T30">
            <v>45550</v>
          </cell>
          <cell r="U30">
            <v>177194341.687702</v>
          </cell>
          <cell r="V30">
            <v>43374</v>
          </cell>
        </row>
        <row r="31">
          <cell r="A31" t="str">
            <v>C</v>
          </cell>
          <cell r="B31" t="str">
            <v>EXPANSIÓN</v>
          </cell>
          <cell r="C31" t="str">
            <v>BID 2 TRAMO 3 y BEI</v>
          </cell>
          <cell r="D31" t="str">
            <v>NORTE</v>
          </cell>
          <cell r="E31" t="str">
            <v>ESCOBAR</v>
          </cell>
          <cell r="F31" t="str">
            <v>RED SECUNDARIA</v>
          </cell>
          <cell r="G31">
            <v>2947</v>
          </cell>
          <cell r="H31" t="str">
            <v>NC70010</v>
          </cell>
          <cell r="I31" t="str">
            <v>RED SECUNDARIA CLOACAL ING. MASCHWITZ IV</v>
          </cell>
          <cell r="J31" t="str">
            <v>5-EN PROYECTO</v>
          </cell>
          <cell r="K31" t="str">
            <v>PROY EN ELABORACIÓN</v>
          </cell>
          <cell r="L31" t="str">
            <v>Pliego 2022</v>
          </cell>
          <cell r="M31">
            <v>44620</v>
          </cell>
          <cell r="N31" t="str">
            <v>DIP</v>
          </cell>
          <cell r="O31">
            <v>44650</v>
          </cell>
          <cell r="P31">
            <v>44695</v>
          </cell>
          <cell r="Q31">
            <v>44785</v>
          </cell>
          <cell r="R31">
            <v>44830</v>
          </cell>
          <cell r="S31">
            <v>510</v>
          </cell>
          <cell r="T31">
            <v>45400</v>
          </cell>
          <cell r="U31">
            <v>260527361.22562799</v>
          </cell>
          <cell r="V31">
            <v>43952</v>
          </cell>
        </row>
        <row r="32">
          <cell r="A32" t="str">
            <v>C</v>
          </cell>
          <cell r="B32" t="str">
            <v>EXPANSIÓN</v>
          </cell>
          <cell r="C32" t="str">
            <v>AYSA (reembolso BIRF)</v>
          </cell>
          <cell r="D32" t="str">
            <v>SUDOESTE</v>
          </cell>
          <cell r="E32" t="str">
            <v>EZEIZA</v>
          </cell>
          <cell r="F32" t="str">
            <v>RED SECUNDARIA</v>
          </cell>
          <cell r="G32">
            <v>3618</v>
          </cell>
          <cell r="H32" t="str">
            <v>SC70228</v>
          </cell>
          <cell r="I32" t="str">
            <v>RED SECUNDARIA CLOACAL EZEIZA SUR 4</v>
          </cell>
          <cell r="J32" t="str">
            <v>5-EN PROYECTO</v>
          </cell>
          <cell r="K32" t="str">
            <v>REALIZADO EN DPT/DIP</v>
          </cell>
          <cell r="L32" t="str">
            <v>Pliego 2022</v>
          </cell>
          <cell r="M32">
            <v>44620</v>
          </cell>
          <cell r="N32" t="str">
            <v>DIP</v>
          </cell>
          <cell r="O32">
            <v>44650</v>
          </cell>
          <cell r="P32">
            <v>44695</v>
          </cell>
          <cell r="Q32">
            <v>44785</v>
          </cell>
          <cell r="R32">
            <v>44830</v>
          </cell>
          <cell r="S32">
            <v>330</v>
          </cell>
          <cell r="T32">
            <v>45220</v>
          </cell>
          <cell r="U32">
            <v>270455873.33122939</v>
          </cell>
          <cell r="V32">
            <v>44197</v>
          </cell>
        </row>
        <row r="33">
          <cell r="A33" t="str">
            <v>C</v>
          </cell>
          <cell r="B33" t="str">
            <v>EXPANSIÓN</v>
          </cell>
          <cell r="C33" t="str">
            <v>AYSA (reembolso BIRF)</v>
          </cell>
          <cell r="D33" t="str">
            <v>SUDOESTE</v>
          </cell>
          <cell r="E33" t="str">
            <v>EZEIZA</v>
          </cell>
          <cell r="F33" t="str">
            <v>RED SECUNDARIA</v>
          </cell>
          <cell r="G33">
            <v>3240</v>
          </cell>
          <cell r="H33" t="str">
            <v>SC70229</v>
          </cell>
          <cell r="I33" t="str">
            <v>RED SECUNDARIA CLOACAL EZEIZA SUR 5</v>
          </cell>
          <cell r="J33" t="str">
            <v>5-EN PROYECTO</v>
          </cell>
          <cell r="K33" t="str">
            <v>REALIZADO EN DPT/DIP</v>
          </cell>
          <cell r="L33" t="str">
            <v>Pliego 2022</v>
          </cell>
          <cell r="M33">
            <v>44620</v>
          </cell>
          <cell r="N33" t="str">
            <v>DIP</v>
          </cell>
          <cell r="O33">
            <v>44650</v>
          </cell>
          <cell r="P33">
            <v>44695</v>
          </cell>
          <cell r="Q33">
            <v>44785</v>
          </cell>
          <cell r="R33">
            <v>44830</v>
          </cell>
          <cell r="S33">
            <v>330</v>
          </cell>
          <cell r="T33">
            <v>45220</v>
          </cell>
          <cell r="U33">
            <v>242191575.16273743</v>
          </cell>
          <cell r="V33">
            <v>44197</v>
          </cell>
        </row>
        <row r="34">
          <cell r="A34" t="str">
            <v>C</v>
          </cell>
          <cell r="B34" t="str">
            <v>EXPANSIÓN</v>
          </cell>
          <cell r="C34" t="str">
            <v>AYSA</v>
          </cell>
          <cell r="D34" t="str">
            <v>SUDESTE</v>
          </cell>
          <cell r="E34" t="str">
            <v>LANÚS</v>
          </cell>
          <cell r="F34" t="str">
            <v>RED SECUNDARIA</v>
          </cell>
          <cell r="G34">
            <v>9770</v>
          </cell>
          <cell r="H34" t="str">
            <v>SC70087</v>
          </cell>
          <cell r="I34" t="str">
            <v>RED SECUNDARIA CLOACAL BALCARCE NORTE</v>
          </cell>
          <cell r="J34" t="str">
            <v>5-EN PROYECTO</v>
          </cell>
          <cell r="K34" t="str">
            <v>REALIZADO EN DPT/DIP</v>
          </cell>
          <cell r="L34" t="str">
            <v>Pliego 2022</v>
          </cell>
          <cell r="M34">
            <v>44620</v>
          </cell>
          <cell r="N34" t="str">
            <v>DIP</v>
          </cell>
          <cell r="O34">
            <v>44650</v>
          </cell>
          <cell r="P34">
            <v>44695</v>
          </cell>
          <cell r="Q34">
            <v>44785</v>
          </cell>
          <cell r="R34">
            <v>44830</v>
          </cell>
          <cell r="S34">
            <v>390</v>
          </cell>
          <cell r="T34">
            <v>45280</v>
          </cell>
          <cell r="U34">
            <v>376904171.15052629</v>
          </cell>
          <cell r="V34">
            <v>44197</v>
          </cell>
        </row>
        <row r="35">
          <cell r="A35" t="str">
            <v>C</v>
          </cell>
          <cell r="B35" t="str">
            <v>EXPANSIÓN</v>
          </cell>
          <cell r="C35" t="str">
            <v>AYSA</v>
          </cell>
          <cell r="D35" t="str">
            <v>SUDESTE</v>
          </cell>
          <cell r="E35" t="str">
            <v>LANÚS</v>
          </cell>
          <cell r="F35" t="str">
            <v>RED SECUNDARIA</v>
          </cell>
          <cell r="G35">
            <v>4192</v>
          </cell>
          <cell r="H35" t="str">
            <v>SC70088</v>
          </cell>
          <cell r="I35" t="str">
            <v>RED SECUNDARIA CLOACAL VILLA EDÉN OESTE</v>
          </cell>
          <cell r="J35" t="str">
            <v>5-EN PROYECTO</v>
          </cell>
          <cell r="K35" t="str">
            <v>REALIZADO EN DPT/DIP</v>
          </cell>
          <cell r="L35" t="str">
            <v>Pliego 2022</v>
          </cell>
          <cell r="M35">
            <v>44620</v>
          </cell>
          <cell r="N35" t="str">
            <v>DIP</v>
          </cell>
          <cell r="O35">
            <v>44650</v>
          </cell>
          <cell r="P35">
            <v>44695</v>
          </cell>
          <cell r="Q35">
            <v>44785</v>
          </cell>
          <cell r="R35">
            <v>44830</v>
          </cell>
          <cell r="S35">
            <v>330</v>
          </cell>
          <cell r="T35">
            <v>45220</v>
          </cell>
          <cell r="U35">
            <v>143217837.54633486</v>
          </cell>
          <cell r="V35">
            <v>44197</v>
          </cell>
        </row>
        <row r="36">
          <cell r="A36" t="str">
            <v>C</v>
          </cell>
          <cell r="B36" t="str">
            <v>EXPANSIÓN</v>
          </cell>
          <cell r="C36" t="str">
            <v>AYSA</v>
          </cell>
          <cell r="D36" t="str">
            <v>SUDESTE</v>
          </cell>
          <cell r="E36" t="str">
            <v>QUILMES</v>
          </cell>
          <cell r="F36" t="str">
            <v>RED SECUNDARIA</v>
          </cell>
          <cell r="G36">
            <v>11344</v>
          </cell>
          <cell r="H36" t="str">
            <v>SC70076</v>
          </cell>
          <cell r="I36" t="str">
            <v>RED SECUNDARIA CLOACAL - SOLANO SUR</v>
          </cell>
          <cell r="J36" t="str">
            <v>5-EN PROYECTO</v>
          </cell>
          <cell r="K36" t="str">
            <v>PROY ELAB A ACTUALIZAR</v>
          </cell>
          <cell r="L36" t="str">
            <v>Pliego 2022</v>
          </cell>
          <cell r="M36">
            <v>44650</v>
          </cell>
          <cell r="N36" t="str">
            <v>DIP</v>
          </cell>
          <cell r="O36">
            <v>44681</v>
          </cell>
          <cell r="P36">
            <v>44726</v>
          </cell>
          <cell r="Q36">
            <v>44816</v>
          </cell>
          <cell r="R36">
            <v>44861</v>
          </cell>
          <cell r="S36">
            <v>450</v>
          </cell>
          <cell r="T36">
            <v>45371</v>
          </cell>
          <cell r="U36">
            <v>227858360.87762338</v>
          </cell>
          <cell r="V36">
            <v>44105</v>
          </cell>
        </row>
        <row r="37">
          <cell r="A37" t="str">
            <v>C</v>
          </cell>
          <cell r="B37" t="str">
            <v>EXPANSIÓN</v>
          </cell>
          <cell r="C37" t="str">
            <v>BID 2° Y 3° CORDÓN</v>
          </cell>
          <cell r="D37" t="str">
            <v>NORTE</v>
          </cell>
          <cell r="E37" t="str">
            <v>SAN MIGUEL</v>
          </cell>
          <cell r="F37" t="str">
            <v>RED SECUNDARIA</v>
          </cell>
          <cell r="G37">
            <v>10569</v>
          </cell>
          <cell r="H37" t="str">
            <v>NC70176</v>
          </cell>
          <cell r="I37" t="str">
            <v>RED SECUNDARIA CLOACAL SANTA MARIA 3 - CUENCA 1</v>
          </cell>
          <cell r="J37" t="str">
            <v>5-EN PROYECTO</v>
          </cell>
          <cell r="K37" t="str">
            <v>REALIZADO EN DPT/DIP</v>
          </cell>
          <cell r="L37" t="str">
            <v>Pliego 2022</v>
          </cell>
          <cell r="M37">
            <v>44650</v>
          </cell>
          <cell r="N37" t="str">
            <v>DIP</v>
          </cell>
          <cell r="O37">
            <v>44681</v>
          </cell>
          <cell r="P37">
            <v>44726</v>
          </cell>
          <cell r="Q37">
            <v>44816</v>
          </cell>
          <cell r="R37">
            <v>44861</v>
          </cell>
          <cell r="S37">
            <v>510</v>
          </cell>
          <cell r="T37">
            <v>45431</v>
          </cell>
          <cell r="U37">
            <v>328666997.90856123</v>
          </cell>
          <cell r="V37">
            <v>44197</v>
          </cell>
        </row>
        <row r="38">
          <cell r="A38" t="str">
            <v>C</v>
          </cell>
          <cell r="B38" t="str">
            <v>EXPANSIÓN</v>
          </cell>
          <cell r="C38" t="str">
            <v>BID 2° Y 3° CORDÓN</v>
          </cell>
          <cell r="D38" t="str">
            <v>NORTE</v>
          </cell>
          <cell r="E38" t="str">
            <v>SAN MIGUEL</v>
          </cell>
          <cell r="F38" t="str">
            <v>RED SECUNDARIA</v>
          </cell>
          <cell r="G38">
            <v>10654</v>
          </cell>
          <cell r="H38" t="str">
            <v>NC70181</v>
          </cell>
          <cell r="I38" t="str">
            <v>RED SECUNDARIA CLOACAL BELLA VISTA 1 - CUENCA 1</v>
          </cell>
          <cell r="J38" t="str">
            <v>5-EN PROYECTO</v>
          </cell>
          <cell r="K38" t="str">
            <v>REALIZADO EN DPT/DIP</v>
          </cell>
          <cell r="L38" t="str">
            <v>Pliego 2022</v>
          </cell>
          <cell r="M38">
            <v>44650</v>
          </cell>
          <cell r="N38" t="str">
            <v>DIP</v>
          </cell>
          <cell r="O38">
            <v>44681</v>
          </cell>
          <cell r="P38">
            <v>44726</v>
          </cell>
          <cell r="Q38">
            <v>44816</v>
          </cell>
          <cell r="R38">
            <v>44861</v>
          </cell>
          <cell r="S38">
            <v>450</v>
          </cell>
          <cell r="T38">
            <v>45371</v>
          </cell>
          <cell r="U38">
            <v>291157635.51238668</v>
          </cell>
          <cell r="V38">
            <v>44197</v>
          </cell>
        </row>
        <row r="39">
          <cell r="A39" t="str">
            <v>A</v>
          </cell>
          <cell r="B39" t="str">
            <v>EXPANSIÓN</v>
          </cell>
          <cell r="C39" t="str">
            <v>AYSA</v>
          </cell>
          <cell r="D39" t="str">
            <v>NORTE</v>
          </cell>
          <cell r="E39" t="str">
            <v>MALVINAS ARGENTINAS</v>
          </cell>
          <cell r="F39" t="str">
            <v>RED SECUNDARIA</v>
          </cell>
          <cell r="G39">
            <v>18738</v>
          </cell>
          <cell r="H39" t="str">
            <v>S/P3</v>
          </cell>
          <cell r="I39" t="str">
            <v>RED SECUNDARIA DE AGUA GRAND BOURG III</v>
          </cell>
          <cell r="J39" t="str">
            <v>5-EN PROYECTO</v>
          </cell>
          <cell r="K39" t="str">
            <v>DB EN ELABORACIÓN</v>
          </cell>
          <cell r="L39" t="str">
            <v>Pliego 2022</v>
          </cell>
          <cell r="M39">
            <v>44681</v>
          </cell>
          <cell r="N39" t="str">
            <v>DIP</v>
          </cell>
          <cell r="O39">
            <v>44711</v>
          </cell>
          <cell r="P39">
            <v>44756</v>
          </cell>
          <cell r="Q39">
            <v>44846</v>
          </cell>
          <cell r="R39">
            <v>44891</v>
          </cell>
          <cell r="S39">
            <v>450</v>
          </cell>
          <cell r="T39">
            <v>45401</v>
          </cell>
          <cell r="U39">
            <v>115326486.79335165</v>
          </cell>
          <cell r="V39">
            <v>43374</v>
          </cell>
        </row>
        <row r="40">
          <cell r="A40" t="str">
            <v>C</v>
          </cell>
          <cell r="B40" t="str">
            <v>EXPANSIÓN</v>
          </cell>
          <cell r="C40" t="str">
            <v>AYSA (reembolso BIRF)</v>
          </cell>
          <cell r="D40" t="str">
            <v>SUDOESTE</v>
          </cell>
          <cell r="E40" t="str">
            <v>EZEIZA</v>
          </cell>
          <cell r="F40" t="str">
            <v>RED SECUNDARIA</v>
          </cell>
          <cell r="G40">
            <v>2503</v>
          </cell>
          <cell r="H40" t="str">
            <v>SC70227</v>
          </cell>
          <cell r="I40" t="str">
            <v>RED SECUNDARIA CLOACAL EZEIZA SUR 3</v>
          </cell>
          <cell r="J40" t="str">
            <v>5-EN PROYECTO</v>
          </cell>
          <cell r="K40" t="str">
            <v>REALIZADO EN DPT/DIP</v>
          </cell>
          <cell r="L40" t="str">
            <v>Pliego 2022</v>
          </cell>
          <cell r="M40">
            <v>44681</v>
          </cell>
          <cell r="N40" t="str">
            <v>DIP</v>
          </cell>
          <cell r="O40">
            <v>44711</v>
          </cell>
          <cell r="P40">
            <v>44756</v>
          </cell>
          <cell r="Q40">
            <v>44846</v>
          </cell>
          <cell r="R40">
            <v>44891</v>
          </cell>
          <cell r="S40">
            <v>390</v>
          </cell>
          <cell r="T40">
            <v>45341</v>
          </cell>
          <cell r="U40">
            <v>215994732.87567508</v>
          </cell>
          <cell r="V40">
            <v>44197</v>
          </cell>
        </row>
        <row r="41">
          <cell r="A41" t="str">
            <v>C</v>
          </cell>
          <cell r="B41" t="str">
            <v>EXPANSIÓN</v>
          </cell>
          <cell r="C41" t="str">
            <v>BID 2° Y 3° CORDÓN</v>
          </cell>
          <cell r="D41" t="str">
            <v>NORTE</v>
          </cell>
          <cell r="E41" t="str">
            <v>SAN MIGUEL</v>
          </cell>
          <cell r="F41" t="str">
            <v>RED SECUNDARIA</v>
          </cell>
          <cell r="G41">
            <v>5514</v>
          </cell>
          <cell r="H41" t="str">
            <v>NC70177</v>
          </cell>
          <cell r="I41" t="str">
            <v>RED SECUNDARIA CLOACAL SANTA MARIA 3 - CUENCA 2</v>
          </cell>
          <cell r="J41" t="str">
            <v>5-EN PROYECTO</v>
          </cell>
          <cell r="K41" t="str">
            <v>REALIZADO EN DPT/DIP</v>
          </cell>
          <cell r="L41" t="str">
            <v>Pliego 2022</v>
          </cell>
          <cell r="M41">
            <v>44681</v>
          </cell>
          <cell r="N41" t="str">
            <v>DIP</v>
          </cell>
          <cell r="O41">
            <v>44711</v>
          </cell>
          <cell r="P41">
            <v>44756</v>
          </cell>
          <cell r="Q41">
            <v>44846</v>
          </cell>
          <cell r="R41">
            <v>44891</v>
          </cell>
          <cell r="S41">
            <v>300</v>
          </cell>
          <cell r="T41">
            <v>45251</v>
          </cell>
          <cell r="U41">
            <v>232288733.52435803</v>
          </cell>
          <cell r="V41">
            <v>44197</v>
          </cell>
        </row>
        <row r="42">
          <cell r="A42" t="str">
            <v>C</v>
          </cell>
          <cell r="B42" t="str">
            <v>EXPANSIÓN</v>
          </cell>
          <cell r="C42" t="str">
            <v>AYSA</v>
          </cell>
          <cell r="D42" t="str">
            <v>SUDOESTE</v>
          </cell>
          <cell r="E42" t="str">
            <v>PRESIDENTE PERÓN</v>
          </cell>
          <cell r="F42" t="str">
            <v>RED SECUNDARIA</v>
          </cell>
          <cell r="G42">
            <v>4983</v>
          </cell>
          <cell r="H42" t="str">
            <v>SC70324</v>
          </cell>
          <cell r="I42" t="str">
            <v>RED SECUNDARIA CLOACAL NUMANCIA 1A</v>
          </cell>
          <cell r="J42" t="str">
            <v>5-EN PROYECTO</v>
          </cell>
          <cell r="K42" t="str">
            <v>PROY EN ELABORACIÓN</v>
          </cell>
          <cell r="L42" t="str">
            <v>Pliego 2022</v>
          </cell>
          <cell r="M42">
            <v>44711</v>
          </cell>
          <cell r="N42" t="str">
            <v>DIP</v>
          </cell>
          <cell r="O42">
            <v>44742</v>
          </cell>
          <cell r="P42">
            <v>44787</v>
          </cell>
          <cell r="Q42">
            <v>44877</v>
          </cell>
          <cell r="R42">
            <v>44922</v>
          </cell>
          <cell r="S42">
            <v>600</v>
          </cell>
          <cell r="T42">
            <v>45582</v>
          </cell>
          <cell r="U42">
            <v>117720591.993774</v>
          </cell>
          <cell r="V42">
            <v>43374</v>
          </cell>
        </row>
        <row r="43">
          <cell r="A43" t="str">
            <v>C</v>
          </cell>
          <cell r="B43" t="str">
            <v>EXPANSIÓN</v>
          </cell>
          <cell r="C43" t="str">
            <v>AYSA</v>
          </cell>
          <cell r="D43" t="str">
            <v>OESTE</v>
          </cell>
          <cell r="E43" t="str">
            <v>ITUZAINGÓ</v>
          </cell>
          <cell r="F43" t="str">
            <v>RED SECUNDARIA</v>
          </cell>
          <cell r="G43">
            <v>10129</v>
          </cell>
          <cell r="H43" t="str">
            <v>OC70228</v>
          </cell>
          <cell r="I43" t="str">
            <v>RED SECUNDARIA CLOACAL COLECTOR MARTÍN RODRÍGUEZ ETAPA 2 - CUENCA III</v>
          </cell>
          <cell r="J43" t="str">
            <v>5-EN PROYECTO</v>
          </cell>
          <cell r="K43" t="str">
            <v>REALIZADO EN DPT/DIP</v>
          </cell>
          <cell r="L43" t="str">
            <v>Pliego 2022</v>
          </cell>
          <cell r="M43">
            <v>44711</v>
          </cell>
          <cell r="N43" t="str">
            <v>DIP</v>
          </cell>
          <cell r="O43">
            <v>44742</v>
          </cell>
          <cell r="P43">
            <v>44787</v>
          </cell>
          <cell r="Q43">
            <v>44877</v>
          </cell>
          <cell r="R43">
            <v>44922</v>
          </cell>
          <cell r="S43">
            <v>430</v>
          </cell>
          <cell r="T43">
            <v>45412</v>
          </cell>
          <cell r="U43">
            <v>511466414.32169986</v>
          </cell>
          <cell r="V43">
            <v>44197</v>
          </cell>
        </row>
        <row r="44">
          <cell r="A44" t="str">
            <v>C</v>
          </cell>
          <cell r="B44" t="str">
            <v>EXPANSIÓN</v>
          </cell>
          <cell r="C44" t="str">
            <v>BID 2° Y 3° CORDÓN</v>
          </cell>
          <cell r="D44" t="str">
            <v>NORTE</v>
          </cell>
          <cell r="E44" t="str">
            <v>SAN MIGUEL</v>
          </cell>
          <cell r="F44" t="str">
            <v>RED SECUNDARIA</v>
          </cell>
          <cell r="G44">
            <v>7582</v>
          </cell>
          <cell r="H44" t="str">
            <v>NC70178</v>
          </cell>
          <cell r="I44" t="str">
            <v>RED SECUNDARIA CLOACAL SANTA MARIA 3 - CUENCA 3</v>
          </cell>
          <cell r="J44" t="str">
            <v>5-EN PROYECTO</v>
          </cell>
          <cell r="K44" t="str">
            <v>REALIZADO EN DPT/DIP</v>
          </cell>
          <cell r="L44" t="str">
            <v>Pliego 2022</v>
          </cell>
          <cell r="M44">
            <v>44711</v>
          </cell>
          <cell r="N44" t="str">
            <v>DIP</v>
          </cell>
          <cell r="O44">
            <v>44742</v>
          </cell>
          <cell r="P44">
            <v>44787</v>
          </cell>
          <cell r="Q44">
            <v>44877</v>
          </cell>
          <cell r="R44">
            <v>44922</v>
          </cell>
          <cell r="S44">
            <v>360</v>
          </cell>
          <cell r="T44">
            <v>45342</v>
          </cell>
          <cell r="U44">
            <v>304549123.94858116</v>
          </cell>
          <cell r="V44">
            <v>44197</v>
          </cell>
        </row>
        <row r="45">
          <cell r="A45" t="str">
            <v>C</v>
          </cell>
          <cell r="B45" t="str">
            <v>EXPANSIÓN</v>
          </cell>
          <cell r="C45" t="str">
            <v>BID 2° Y 3° CORDÓN</v>
          </cell>
          <cell r="D45" t="str">
            <v>NORTE</v>
          </cell>
          <cell r="E45" t="str">
            <v>SAN MIGUEL</v>
          </cell>
          <cell r="F45" t="str">
            <v>RED SECUNDARIA</v>
          </cell>
          <cell r="G45">
            <v>6204</v>
          </cell>
          <cell r="H45" t="str">
            <v>NC70179</v>
          </cell>
          <cell r="I45" t="str">
            <v>RED SECUNDARIA CLOACAL SANTA MARIA 3 - CUENCA 4</v>
          </cell>
          <cell r="J45" t="str">
            <v>5-EN PROYECTO</v>
          </cell>
          <cell r="K45" t="str">
            <v>REALIZADO EN DPT/DIP</v>
          </cell>
          <cell r="L45" t="str">
            <v>Pliego 2022</v>
          </cell>
          <cell r="M45">
            <v>44711</v>
          </cell>
          <cell r="N45" t="str">
            <v>DIP</v>
          </cell>
          <cell r="O45">
            <v>44742</v>
          </cell>
          <cell r="P45">
            <v>44787</v>
          </cell>
          <cell r="Q45">
            <v>44877</v>
          </cell>
          <cell r="R45">
            <v>44922</v>
          </cell>
          <cell r="S45">
            <v>360</v>
          </cell>
          <cell r="T45">
            <v>45342</v>
          </cell>
          <cell r="U45">
            <v>226808207.21972305</v>
          </cell>
          <cell r="V45">
            <v>44197</v>
          </cell>
        </row>
        <row r="46">
          <cell r="A46" t="str">
            <v>A</v>
          </cell>
          <cell r="B46" t="str">
            <v>EXPANSIÓN</v>
          </cell>
          <cell r="C46" t="str">
            <v>AYSA</v>
          </cell>
          <cell r="D46" t="str">
            <v>OESTE</v>
          </cell>
          <cell r="E46" t="str">
            <v>HURLINGHAM</v>
          </cell>
          <cell r="F46" t="str">
            <v>RED SECUNDARIA</v>
          </cell>
          <cell r="G46">
            <v>4480</v>
          </cell>
          <cell r="H46" t="str">
            <v>OA70167</v>
          </cell>
          <cell r="I46" t="str">
            <v>RED SECUNDARIA DE AGUA HURLINGHAM 1 ETAPA 1 (COMISARIA N°1 DE HURLINGHAM)</v>
          </cell>
          <cell r="J46" t="str">
            <v>5-EN PROYECTO</v>
          </cell>
          <cell r="K46" t="str">
            <v>REALIZADO EN DPT/DIP</v>
          </cell>
          <cell r="L46" t="str">
            <v>Pliego 2022</v>
          </cell>
          <cell r="M46">
            <v>44742</v>
          </cell>
          <cell r="N46" t="str">
            <v>DIP</v>
          </cell>
          <cell r="O46">
            <v>44772</v>
          </cell>
          <cell r="P46">
            <v>44817</v>
          </cell>
          <cell r="Q46">
            <v>44907</v>
          </cell>
          <cell r="R46">
            <v>44952</v>
          </cell>
          <cell r="S46">
            <v>450</v>
          </cell>
          <cell r="T46">
            <v>45462</v>
          </cell>
          <cell r="U46">
            <v>149915302.07029384</v>
          </cell>
          <cell r="V46">
            <v>44197</v>
          </cell>
        </row>
        <row r="47">
          <cell r="A47" t="str">
            <v>A</v>
          </cell>
          <cell r="B47" t="str">
            <v>EXPANSIÓN</v>
          </cell>
          <cell r="C47" t="str">
            <v>AYSA</v>
          </cell>
          <cell r="D47" t="str">
            <v>NORTE</v>
          </cell>
          <cell r="E47" t="str">
            <v>JOSÉ C. PAZ</v>
          </cell>
          <cell r="F47" t="str">
            <v>RED SECUNDARIA</v>
          </cell>
          <cell r="G47">
            <v>5713</v>
          </cell>
          <cell r="H47" t="str">
            <v>S/P3</v>
          </cell>
          <cell r="I47" t="str">
            <v>RED SECUNDARIA DE AGUA JOSÉ C. PAZ OESTE III</v>
          </cell>
          <cell r="J47" t="str">
            <v>5-EN PROYECTO</v>
          </cell>
          <cell r="K47" t="str">
            <v>DB A ELABORAR</v>
          </cell>
          <cell r="L47" t="str">
            <v>Pliego 2022</v>
          </cell>
          <cell r="M47">
            <v>44772</v>
          </cell>
          <cell r="N47" t="str">
            <v>DIP</v>
          </cell>
          <cell r="O47">
            <v>44803</v>
          </cell>
          <cell r="P47">
            <v>44848</v>
          </cell>
          <cell r="Q47">
            <v>44938</v>
          </cell>
          <cell r="R47">
            <v>44983</v>
          </cell>
          <cell r="S47">
            <v>300</v>
          </cell>
          <cell r="T47">
            <v>45343</v>
          </cell>
          <cell r="U47">
            <v>46250726.474417068</v>
          </cell>
          <cell r="V47">
            <v>43374</v>
          </cell>
        </row>
        <row r="48">
          <cell r="A48" t="str">
            <v>A</v>
          </cell>
          <cell r="B48" t="str">
            <v>EXPANSIÓN</v>
          </cell>
          <cell r="C48" t="str">
            <v>AYSA</v>
          </cell>
          <cell r="D48" t="str">
            <v>NORTE</v>
          </cell>
          <cell r="E48" t="str">
            <v>JOSÉ C. PAZ</v>
          </cell>
          <cell r="F48" t="str">
            <v>RED SECUNDARIA</v>
          </cell>
          <cell r="G48">
            <v>12482</v>
          </cell>
          <cell r="H48" t="str">
            <v>S/P3</v>
          </cell>
          <cell r="I48" t="str">
            <v>RED SECUNDARIA DE AGUA JOSÉ C. PAZ OESTE III - R</v>
          </cell>
          <cell r="J48" t="str">
            <v>5-EN PROYECTO</v>
          </cell>
          <cell r="K48" t="str">
            <v>DB A ELABORAR</v>
          </cell>
          <cell r="L48" t="str">
            <v>Pliego 2022</v>
          </cell>
          <cell r="M48">
            <v>44772</v>
          </cell>
          <cell r="N48" t="str">
            <v>DIP</v>
          </cell>
          <cell r="O48">
            <v>44803</v>
          </cell>
          <cell r="P48">
            <v>44848</v>
          </cell>
          <cell r="Q48">
            <v>44938</v>
          </cell>
          <cell r="R48">
            <v>44983</v>
          </cell>
          <cell r="S48">
            <v>360</v>
          </cell>
          <cell r="T48">
            <v>45403</v>
          </cell>
          <cell r="U48">
            <v>75082348.172754973</v>
          </cell>
          <cell r="V48">
            <v>43374</v>
          </cell>
        </row>
        <row r="49">
          <cell r="A49" t="str">
            <v>A</v>
          </cell>
          <cell r="B49" t="str">
            <v>EXPANSIÓN</v>
          </cell>
          <cell r="C49" t="str">
            <v>AYSA</v>
          </cell>
          <cell r="D49" t="str">
            <v>OESTE</v>
          </cell>
          <cell r="E49" t="str">
            <v>MERLO</v>
          </cell>
          <cell r="F49" t="str">
            <v>RED SECUNDARIA</v>
          </cell>
          <cell r="G49">
            <v>7951</v>
          </cell>
          <cell r="H49" t="str">
            <v>S/P3</v>
          </cell>
          <cell r="I49" t="str">
            <v>RED SECUNDARIA DE AGUA PONTEVEDRA IV ETAPA 1</v>
          </cell>
          <cell r="J49" t="str">
            <v>5-EN PROYECTO</v>
          </cell>
          <cell r="K49" t="str">
            <v>DB EN ELABORACIÓN</v>
          </cell>
          <cell r="L49" t="str">
            <v>Pliego 2022</v>
          </cell>
          <cell r="M49">
            <v>44803</v>
          </cell>
          <cell r="N49" t="str">
            <v>DIP</v>
          </cell>
          <cell r="O49">
            <v>44834</v>
          </cell>
          <cell r="P49">
            <v>44879</v>
          </cell>
          <cell r="Q49">
            <v>44969</v>
          </cell>
          <cell r="R49">
            <v>45014</v>
          </cell>
          <cell r="S49">
            <v>510</v>
          </cell>
          <cell r="T49">
            <v>45584</v>
          </cell>
          <cell r="U49">
            <v>165181165.98006096</v>
          </cell>
          <cell r="V49">
            <v>43374</v>
          </cell>
        </row>
        <row r="50">
          <cell r="A50" t="str">
            <v>C</v>
          </cell>
          <cell r="B50" t="str">
            <v>EXPANSIÓN</v>
          </cell>
          <cell r="C50" t="str">
            <v>AYSA</v>
          </cell>
          <cell r="D50" t="str">
            <v>SUDOESTE</v>
          </cell>
          <cell r="E50" t="str">
            <v>PRESIDENTE PERÓN</v>
          </cell>
          <cell r="F50" t="str">
            <v>RED SECUNDARIA</v>
          </cell>
          <cell r="G50">
            <v>2636</v>
          </cell>
          <cell r="H50" t="str">
            <v>S/P3</v>
          </cell>
          <cell r="I50" t="str">
            <v>RED SECUNDARIA CLOACAL EL ROBLE RESTO</v>
          </cell>
          <cell r="J50" t="str">
            <v>5-EN PROYECTO</v>
          </cell>
          <cell r="K50" t="str">
            <v>PROY EN ELABORACIÓN</v>
          </cell>
          <cell r="L50" t="str">
            <v>Pliego 2022</v>
          </cell>
          <cell r="M50">
            <v>44803</v>
          </cell>
          <cell r="N50" t="str">
            <v>DIP</v>
          </cell>
          <cell r="O50">
            <v>44834</v>
          </cell>
          <cell r="P50">
            <v>44879</v>
          </cell>
          <cell r="Q50">
            <v>44969</v>
          </cell>
          <cell r="R50">
            <v>45014</v>
          </cell>
          <cell r="S50">
            <v>450</v>
          </cell>
          <cell r="T50">
            <v>45524</v>
          </cell>
          <cell r="U50">
            <v>144512174.9992536</v>
          </cell>
          <cell r="V50">
            <v>43374</v>
          </cell>
        </row>
        <row r="51">
          <cell r="A51" t="str">
            <v>A</v>
          </cell>
          <cell r="B51" t="str">
            <v>EXPANSIÓN</v>
          </cell>
          <cell r="C51" t="str">
            <v>AYSA</v>
          </cell>
          <cell r="D51" t="str">
            <v>SUDOESTE</v>
          </cell>
          <cell r="E51" t="str">
            <v>ESTEBAN ECHEVERRÍA</v>
          </cell>
          <cell r="F51" t="str">
            <v>RED SECUNDARIA</v>
          </cell>
          <cell r="G51">
            <v>2860</v>
          </cell>
          <cell r="H51" t="str">
            <v>SA70278</v>
          </cell>
          <cell r="I51" t="str">
            <v>RED SECUNDARIA DE AGUA SANTA ISABEL - ETAPA 2</v>
          </cell>
          <cell r="J51" t="str">
            <v>5-EN PROYECTO</v>
          </cell>
          <cell r="K51" t="str">
            <v>PROY EN ELABORACIÓN</v>
          </cell>
          <cell r="L51" t="str">
            <v>Pliego 2022</v>
          </cell>
          <cell r="M51">
            <v>44803</v>
          </cell>
          <cell r="N51" t="str">
            <v>DIP</v>
          </cell>
          <cell r="O51">
            <v>44834</v>
          </cell>
          <cell r="P51">
            <v>44879</v>
          </cell>
          <cell r="Q51">
            <v>44969</v>
          </cell>
          <cell r="R51">
            <v>45014</v>
          </cell>
          <cell r="S51">
            <v>300</v>
          </cell>
          <cell r="T51">
            <v>45374</v>
          </cell>
          <cell r="U51">
            <v>100000000</v>
          </cell>
          <cell r="V51">
            <v>44197</v>
          </cell>
        </row>
        <row r="52">
          <cell r="A52" t="str">
            <v>C</v>
          </cell>
          <cell r="B52" t="str">
            <v>EXPANSIÓN</v>
          </cell>
          <cell r="C52" t="str">
            <v>AYSA</v>
          </cell>
          <cell r="D52" t="str">
            <v>SUDOESTE</v>
          </cell>
          <cell r="E52" t="str">
            <v>LOMAS DE ZAMORA</v>
          </cell>
          <cell r="F52" t="str">
            <v>RED SECUNDARIA</v>
          </cell>
          <cell r="G52">
            <v>11050</v>
          </cell>
          <cell r="H52" t="str">
            <v>SC70128</v>
          </cell>
          <cell r="I52" t="str">
            <v>RED SECUNDARIA CLOACAL ALBERTINA 3</v>
          </cell>
          <cell r="J52" t="str">
            <v>5-EN PROYECTO</v>
          </cell>
          <cell r="K52" t="str">
            <v>REALIZADO EN DPT/DIP</v>
          </cell>
          <cell r="L52" t="str">
            <v>Pliego 2022</v>
          </cell>
          <cell r="M52">
            <v>44803</v>
          </cell>
          <cell r="N52" t="str">
            <v>DIP</v>
          </cell>
          <cell r="O52">
            <v>44834</v>
          </cell>
          <cell r="P52">
            <v>44879</v>
          </cell>
          <cell r="Q52">
            <v>44969</v>
          </cell>
          <cell r="R52">
            <v>45014</v>
          </cell>
          <cell r="S52">
            <v>510</v>
          </cell>
          <cell r="T52">
            <v>45584</v>
          </cell>
          <cell r="U52">
            <v>329522815.83000594</v>
          </cell>
          <cell r="V52">
            <v>44197</v>
          </cell>
        </row>
        <row r="53">
          <cell r="A53" t="str">
            <v>A</v>
          </cell>
          <cell r="B53" t="str">
            <v>EXPANSIÓN</v>
          </cell>
          <cell r="C53" t="str">
            <v>AYSA</v>
          </cell>
          <cell r="D53" t="str">
            <v>SUDOESTE</v>
          </cell>
          <cell r="E53" t="str">
            <v>EZEIZA</v>
          </cell>
          <cell r="F53" t="str">
            <v>RED SECUNDARIA</v>
          </cell>
          <cell r="H53" t="str">
            <v>S/P3</v>
          </cell>
          <cell r="I53" t="str">
            <v>RED SECUNDARIA DE AGUA SANTA MARTA (EZEIZA 2, B y C)</v>
          </cell>
          <cell r="J53" t="str">
            <v>5-EN PROYECTO</v>
          </cell>
          <cell r="K53" t="str">
            <v>PROY A ELABORAR</v>
          </cell>
          <cell r="L53" t="str">
            <v>Pliego 2022</v>
          </cell>
          <cell r="M53">
            <v>44834</v>
          </cell>
          <cell r="N53" t="str">
            <v>DIP</v>
          </cell>
          <cell r="O53">
            <v>44864</v>
          </cell>
          <cell r="P53">
            <v>44909</v>
          </cell>
          <cell r="Q53">
            <v>44999</v>
          </cell>
          <cell r="R53">
            <v>45044</v>
          </cell>
          <cell r="S53">
            <v>720</v>
          </cell>
          <cell r="T53">
            <v>45824</v>
          </cell>
          <cell r="U53">
            <v>212052500</v>
          </cell>
          <cell r="V53">
            <v>43374</v>
          </cell>
        </row>
        <row r="54">
          <cell r="A54" t="str">
            <v>C</v>
          </cell>
          <cell r="B54" t="str">
            <v>EXPANSIÓN</v>
          </cell>
          <cell r="C54" t="str">
            <v>AYSA</v>
          </cell>
          <cell r="D54" t="str">
            <v>SUDOESTE</v>
          </cell>
          <cell r="E54" t="str">
            <v>ALMIRANTE BROWN</v>
          </cell>
          <cell r="F54" t="str">
            <v>RED SECUNDARIA</v>
          </cell>
          <cell r="G54">
            <v>9790</v>
          </cell>
          <cell r="H54" t="str">
            <v>SC70174</v>
          </cell>
          <cell r="I54" t="str">
            <v>RED SECUNDARIA CLOACAL DON ORIONE</v>
          </cell>
          <cell r="J54" t="str">
            <v>5-EN PROYECTO</v>
          </cell>
          <cell r="K54" t="str">
            <v>PROY A ELABORAR</v>
          </cell>
          <cell r="L54" t="str">
            <v>Pliego 2022</v>
          </cell>
          <cell r="M54">
            <v>44834</v>
          </cell>
          <cell r="N54" t="str">
            <v>DIP</v>
          </cell>
          <cell r="O54">
            <v>44864</v>
          </cell>
          <cell r="P54">
            <v>44909</v>
          </cell>
          <cell r="Q54">
            <v>44999</v>
          </cell>
          <cell r="R54">
            <v>45044</v>
          </cell>
          <cell r="S54">
            <v>540</v>
          </cell>
          <cell r="T54">
            <v>45644</v>
          </cell>
          <cell r="U54">
            <v>162140000</v>
          </cell>
          <cell r="V54">
            <v>43374</v>
          </cell>
        </row>
        <row r="55">
          <cell r="A55" t="str">
            <v>C</v>
          </cell>
          <cell r="B55" t="str">
            <v>EXPANSIÓN</v>
          </cell>
          <cell r="C55" t="str">
            <v>AYSA</v>
          </cell>
          <cell r="D55" t="str">
            <v>OESTE</v>
          </cell>
          <cell r="E55" t="str">
            <v>LA MATANZA</v>
          </cell>
          <cell r="F55" t="str">
            <v>RED SECUNDARIA</v>
          </cell>
          <cell r="G55">
            <v>8260</v>
          </cell>
          <cell r="H55" t="str">
            <v>OC414</v>
          </cell>
          <cell r="I55" t="str">
            <v>RED SECUNDARIA CLOACAL - SUBCUENCA LMO-GC-01 - BARRIO SAN JOSÉ / LA JUSTINA</v>
          </cell>
          <cell r="J55" t="str">
            <v>5-EN PROYECTO</v>
          </cell>
          <cell r="K55" t="str">
            <v>REALIZADO EN DPT/DIP</v>
          </cell>
          <cell r="L55" t="str">
            <v>Pliego 2022</v>
          </cell>
          <cell r="M55">
            <v>44834</v>
          </cell>
          <cell r="N55" t="str">
            <v>DIP</v>
          </cell>
          <cell r="O55">
            <v>44864</v>
          </cell>
          <cell r="P55">
            <v>44909</v>
          </cell>
          <cell r="Q55">
            <v>44999</v>
          </cell>
          <cell r="R55">
            <v>45044</v>
          </cell>
          <cell r="S55">
            <v>450</v>
          </cell>
          <cell r="T55">
            <v>45554</v>
          </cell>
          <cell r="U55">
            <v>130619659.72000001</v>
          </cell>
          <cell r="V55">
            <v>43374</v>
          </cell>
        </row>
        <row r="56">
          <cell r="A56" t="str">
            <v>C</v>
          </cell>
          <cell r="B56" t="str">
            <v>EXPANSIÓN</v>
          </cell>
          <cell r="C56" t="str">
            <v>AYSA</v>
          </cell>
          <cell r="D56" t="str">
            <v>OESTE</v>
          </cell>
          <cell r="E56" t="str">
            <v>LA MATANZA</v>
          </cell>
          <cell r="F56" t="str">
            <v>RED SECUNDARIA</v>
          </cell>
          <cell r="G56">
            <v>3909</v>
          </cell>
          <cell r="H56" t="str">
            <v>OC415</v>
          </cell>
          <cell r="I56" t="str">
            <v>RED SECUNDARIA CLOACAL - SUBCUENCA LMO-GC-02 - BARRIO LOS CEIBOS I</v>
          </cell>
          <cell r="J56" t="str">
            <v>5-EN PROYECTO</v>
          </cell>
          <cell r="K56" t="str">
            <v>REALIZADO EN DPT/DIP</v>
          </cell>
          <cell r="L56" t="str">
            <v>Pliego 2022</v>
          </cell>
          <cell r="M56">
            <v>44834</v>
          </cell>
          <cell r="N56" t="str">
            <v>DIP</v>
          </cell>
          <cell r="O56">
            <v>44864</v>
          </cell>
          <cell r="P56">
            <v>44909</v>
          </cell>
          <cell r="Q56">
            <v>44999</v>
          </cell>
          <cell r="R56">
            <v>45044</v>
          </cell>
          <cell r="S56">
            <v>450</v>
          </cell>
          <cell r="T56">
            <v>45554</v>
          </cell>
          <cell r="U56">
            <v>124847800</v>
          </cell>
          <cell r="V56">
            <v>43374</v>
          </cell>
        </row>
        <row r="57">
          <cell r="A57" t="str">
            <v>C</v>
          </cell>
          <cell r="B57" t="str">
            <v>EXPANSIÓN</v>
          </cell>
          <cell r="C57" t="str">
            <v>AYSA</v>
          </cell>
          <cell r="D57" t="str">
            <v>SUDESTE</v>
          </cell>
          <cell r="E57" t="str">
            <v>QUILMES</v>
          </cell>
          <cell r="F57" t="str">
            <v>RED SECUNDARIA</v>
          </cell>
          <cell r="G57">
            <v>2844</v>
          </cell>
          <cell r="H57" t="str">
            <v>SC70161</v>
          </cell>
          <cell r="I57" t="str">
            <v>RED SECUNDARIA CLOACAL BALNEARIO 1 - ETAPA 1</v>
          </cell>
          <cell r="J57" t="str">
            <v>5-EN PROYECTO</v>
          </cell>
          <cell r="K57" t="str">
            <v>PROY EN ELABORACIÓN</v>
          </cell>
          <cell r="L57" t="str">
            <v>Pliego 2022</v>
          </cell>
          <cell r="M57">
            <v>44864</v>
          </cell>
          <cell r="N57" t="str">
            <v>DIP</v>
          </cell>
          <cell r="O57">
            <v>44895</v>
          </cell>
          <cell r="P57">
            <v>44940</v>
          </cell>
          <cell r="Q57">
            <v>45030</v>
          </cell>
          <cell r="R57">
            <v>45075</v>
          </cell>
          <cell r="S57">
            <v>450</v>
          </cell>
          <cell r="T57">
            <v>45585</v>
          </cell>
          <cell r="U57">
            <v>108369836.08</v>
          </cell>
          <cell r="V57">
            <v>44105</v>
          </cell>
        </row>
        <row r="58">
          <cell r="A58" t="str">
            <v>C</v>
          </cell>
          <cell r="B58" t="str">
            <v>EXPANSIÓN</v>
          </cell>
          <cell r="C58" t="str">
            <v>AYSA</v>
          </cell>
          <cell r="D58" t="str">
            <v>SUDESTE</v>
          </cell>
          <cell r="E58" t="str">
            <v>QUILMES</v>
          </cell>
          <cell r="F58" t="str">
            <v>RED SECUNDARIA</v>
          </cell>
          <cell r="G58">
            <v>3128</v>
          </cell>
          <cell r="H58" t="str">
            <v>SC70164</v>
          </cell>
          <cell r="I58" t="str">
            <v>RED SECUNDARIA CLOACAL BALNEARIO 4</v>
          </cell>
          <cell r="J58" t="str">
            <v>5-EN PROYECTO</v>
          </cell>
          <cell r="K58" t="str">
            <v>PROY EN ELABORACIÓN</v>
          </cell>
          <cell r="L58" t="str">
            <v>Pliego 2022</v>
          </cell>
          <cell r="M58">
            <v>44864</v>
          </cell>
          <cell r="N58" t="str">
            <v>DIP</v>
          </cell>
          <cell r="O58">
            <v>44895</v>
          </cell>
          <cell r="P58">
            <v>44940</v>
          </cell>
          <cell r="Q58">
            <v>45030</v>
          </cell>
          <cell r="R58">
            <v>45075</v>
          </cell>
          <cell r="S58">
            <v>450</v>
          </cell>
          <cell r="T58">
            <v>45585</v>
          </cell>
          <cell r="U58">
            <v>124847800</v>
          </cell>
          <cell r="V58">
            <v>44105</v>
          </cell>
        </row>
        <row r="59">
          <cell r="A59" t="str">
            <v>C</v>
          </cell>
          <cell r="B59" t="str">
            <v>EXPANSIÓN</v>
          </cell>
          <cell r="C59" t="str">
            <v>AYSA</v>
          </cell>
          <cell r="D59" t="str">
            <v>SUDESTE</v>
          </cell>
          <cell r="E59" t="str">
            <v>QUILMES</v>
          </cell>
          <cell r="F59" t="str">
            <v>RED SECUNDARIA</v>
          </cell>
          <cell r="G59">
            <v>3877</v>
          </cell>
          <cell r="H59" t="str">
            <v>S/P3</v>
          </cell>
          <cell r="I59" t="str">
            <v>RED SECUNDARIA CLOACAL BALNEARIO 1 - ETAPA 2</v>
          </cell>
          <cell r="J59" t="str">
            <v>5-EN PROYECTO</v>
          </cell>
          <cell r="K59" t="str">
            <v>PROY EN ELABORACIÓN</v>
          </cell>
          <cell r="L59" t="str">
            <v>Pliego 2022</v>
          </cell>
          <cell r="M59">
            <v>44864</v>
          </cell>
          <cell r="N59" t="str">
            <v>DIP</v>
          </cell>
          <cell r="O59">
            <v>44895</v>
          </cell>
          <cell r="P59">
            <v>44940</v>
          </cell>
          <cell r="Q59">
            <v>45030</v>
          </cell>
          <cell r="R59">
            <v>45075</v>
          </cell>
          <cell r="S59">
            <v>450</v>
          </cell>
          <cell r="T59">
            <v>45585</v>
          </cell>
          <cell r="U59">
            <v>108369836.08</v>
          </cell>
          <cell r="V59">
            <v>44105</v>
          </cell>
        </row>
        <row r="60">
          <cell r="A60" t="str">
            <v>C</v>
          </cell>
          <cell r="B60" t="str">
            <v>EXPANSIÓN</v>
          </cell>
          <cell r="C60" t="str">
            <v>AYSA</v>
          </cell>
          <cell r="D60" t="str">
            <v>OESTE</v>
          </cell>
          <cell r="E60" t="str">
            <v>LA MATANZA</v>
          </cell>
          <cell r="F60" t="str">
            <v>RED SECUNDARIA</v>
          </cell>
          <cell r="G60">
            <v>6849</v>
          </cell>
          <cell r="H60" t="str">
            <v>OC416</v>
          </cell>
          <cell r="I60" t="str">
            <v>RED SECUNDARIA CLOACAL - SUBCUENCA LMO-GC-03 - BARRIO LOS CEIBOS II</v>
          </cell>
          <cell r="J60" t="str">
            <v>5-EN PROYECTO</v>
          </cell>
          <cell r="K60" t="str">
            <v>REALIZADO EN DPT/DIP</v>
          </cell>
          <cell r="L60" t="str">
            <v>Pliego 2022</v>
          </cell>
          <cell r="M60">
            <v>44864</v>
          </cell>
          <cell r="N60" t="str">
            <v>DIP</v>
          </cell>
          <cell r="O60">
            <v>44895</v>
          </cell>
          <cell r="P60">
            <v>44940</v>
          </cell>
          <cell r="Q60">
            <v>45030</v>
          </cell>
          <cell r="R60">
            <v>45075</v>
          </cell>
          <cell r="S60">
            <v>450</v>
          </cell>
          <cell r="T60">
            <v>45585</v>
          </cell>
          <cell r="U60">
            <v>135529907.47999999</v>
          </cell>
          <cell r="V60">
            <v>43374</v>
          </cell>
        </row>
        <row r="61">
          <cell r="A61" t="str">
            <v>C</v>
          </cell>
          <cell r="B61" t="str">
            <v>EXPANSIÓN</v>
          </cell>
          <cell r="C61" t="str">
            <v>AYSA</v>
          </cell>
          <cell r="D61" t="str">
            <v>OESTE</v>
          </cell>
          <cell r="E61" t="str">
            <v>LA MATANZA</v>
          </cell>
          <cell r="F61" t="str">
            <v>RED SECUNDARIA</v>
          </cell>
          <cell r="G61">
            <v>10000</v>
          </cell>
          <cell r="H61" t="str">
            <v>OC417</v>
          </cell>
          <cell r="I61" t="str">
            <v>RED SECUNDARIA CLOACAL - SUBCUENCA LMO-GC-04 - BARRIO LOS CEIBOS III</v>
          </cell>
          <cell r="J61" t="str">
            <v>5-EN PROYECTO</v>
          </cell>
          <cell r="K61" t="str">
            <v>REALIZADO EN DPT/DIP</v>
          </cell>
          <cell r="L61" t="str">
            <v>Pliego 2022</v>
          </cell>
          <cell r="M61">
            <v>44864</v>
          </cell>
          <cell r="N61" t="str">
            <v>DIP</v>
          </cell>
          <cell r="O61">
            <v>44895</v>
          </cell>
          <cell r="P61">
            <v>44940</v>
          </cell>
          <cell r="Q61">
            <v>45030</v>
          </cell>
          <cell r="R61">
            <v>45075</v>
          </cell>
          <cell r="S61">
            <v>600</v>
          </cell>
          <cell r="T61">
            <v>45735</v>
          </cell>
          <cell r="U61">
            <v>217299055.16000003</v>
          </cell>
          <cell r="V61">
            <v>43374</v>
          </cell>
        </row>
        <row r="62">
          <cell r="A62" t="str">
            <v>C</v>
          </cell>
          <cell r="B62" t="str">
            <v>EXPANSIÓN</v>
          </cell>
          <cell r="C62" t="str">
            <v>AYSA</v>
          </cell>
          <cell r="D62" t="str">
            <v>SUDOESTE</v>
          </cell>
          <cell r="E62" t="str">
            <v>ALMIRANTE BROWN</v>
          </cell>
          <cell r="F62" t="str">
            <v>RED SECUNDARIA</v>
          </cell>
          <cell r="G62">
            <v>15579</v>
          </cell>
          <cell r="H62" t="str">
            <v>SC70175</v>
          </cell>
          <cell r="I62" t="str">
            <v>RED SECUNDARIA CLOACAL DON ORIONE 2</v>
          </cell>
          <cell r="J62" t="str">
            <v>5-EN PROYECTO</v>
          </cell>
          <cell r="K62" t="str">
            <v>PROY A ELABORAR</v>
          </cell>
          <cell r="L62" t="str">
            <v>Pliego 2022</v>
          </cell>
          <cell r="M62">
            <v>44895</v>
          </cell>
          <cell r="N62" t="str">
            <v>DIP</v>
          </cell>
          <cell r="O62">
            <v>44925</v>
          </cell>
          <cell r="P62">
            <v>44970</v>
          </cell>
          <cell r="Q62">
            <v>45060</v>
          </cell>
          <cell r="R62">
            <v>45105</v>
          </cell>
          <cell r="S62">
            <v>600</v>
          </cell>
          <cell r="T62">
            <v>45765</v>
          </cell>
          <cell r="U62">
            <v>264288200</v>
          </cell>
          <cell r="V62">
            <v>43374</v>
          </cell>
        </row>
        <row r="63">
          <cell r="A63" t="str">
            <v>C</v>
          </cell>
          <cell r="B63" t="str">
            <v>EXPANSIÓN</v>
          </cell>
          <cell r="C63" t="str">
            <v>AYSA</v>
          </cell>
          <cell r="D63" t="str">
            <v>SUDESTE</v>
          </cell>
          <cell r="E63" t="str">
            <v>LANÚS</v>
          </cell>
          <cell r="F63" t="str">
            <v>RED SECUNDARIA</v>
          </cell>
          <cell r="G63">
            <v>900</v>
          </cell>
          <cell r="H63" t="str">
            <v>S/P3</v>
          </cell>
          <cell r="I63" t="str">
            <v>RED SECUNDARIA CLOACAL CARAZA 2 - SUBCUENCA ACUBA - RESTO</v>
          </cell>
          <cell r="J63" t="str">
            <v>5-EN PROYECTO</v>
          </cell>
          <cell r="K63" t="str">
            <v>PROY A ELABORAR</v>
          </cell>
          <cell r="L63" t="str">
            <v>Pliego 2022</v>
          </cell>
          <cell r="M63">
            <v>44895</v>
          </cell>
          <cell r="N63" t="str">
            <v>DIP</v>
          </cell>
          <cell r="O63">
            <v>44925</v>
          </cell>
          <cell r="P63">
            <v>44970</v>
          </cell>
          <cell r="Q63">
            <v>45060</v>
          </cell>
          <cell r="R63">
            <v>45105</v>
          </cell>
          <cell r="S63">
            <v>240</v>
          </cell>
          <cell r="T63">
            <v>45405</v>
          </cell>
          <cell r="U63">
            <v>12971200</v>
          </cell>
          <cell r="V63">
            <v>43374</v>
          </cell>
        </row>
        <row r="64">
          <cell r="A64" t="str">
            <v>C</v>
          </cell>
          <cell r="B64" t="str">
            <v>EXPANSIÓN</v>
          </cell>
          <cell r="C64" t="str">
            <v>AYSA</v>
          </cell>
          <cell r="D64" t="str">
            <v>SUDOESTE</v>
          </cell>
          <cell r="E64" t="str">
            <v>ALMIRANTE BROWN</v>
          </cell>
          <cell r="F64" t="str">
            <v>RED SECUNDARIA</v>
          </cell>
          <cell r="G64">
            <v>7313</v>
          </cell>
          <cell r="H64" t="str">
            <v>SC70012</v>
          </cell>
          <cell r="I64" t="str">
            <v>RED SECUNDARIA CLOACAL BARRIO CLAYPOLE 2</v>
          </cell>
          <cell r="J64" t="str">
            <v>5-EN PROYECTO</v>
          </cell>
          <cell r="K64" t="str">
            <v>REALIZADO EN DPT/DIP</v>
          </cell>
          <cell r="L64" t="str">
            <v>Pliego 2022</v>
          </cell>
          <cell r="M64">
            <v>44895</v>
          </cell>
          <cell r="N64" t="str">
            <v>DIP</v>
          </cell>
          <cell r="O64">
            <v>44925</v>
          </cell>
          <cell r="P64">
            <v>44970</v>
          </cell>
          <cell r="Q64">
            <v>45060</v>
          </cell>
          <cell r="R64">
            <v>45105</v>
          </cell>
          <cell r="S64">
            <v>390</v>
          </cell>
          <cell r="T64">
            <v>45555</v>
          </cell>
          <cell r="U64">
            <v>296265738.22740948</v>
          </cell>
          <cell r="V64">
            <v>43922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4"/>
  <sheetViews>
    <sheetView tabSelected="1" workbookViewId="0">
      <selection activeCell="V2" sqref="V2:V64"/>
    </sheetView>
  </sheetViews>
  <sheetFormatPr baseColWidth="10" defaultColWidth="8.7265625" defaultRowHeight="14.5" x14ac:dyDescent="0.35"/>
  <cols>
    <col min="13" max="13" width="10.453125" bestFit="1" customWidth="1"/>
    <col min="15" max="18" width="12.453125" customWidth="1"/>
    <col min="20" max="20" width="10.7265625" customWidth="1"/>
    <col min="22" max="22" width="10.81640625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t="str">
        <f>+'[1]A Licitar'!A2</f>
        <v>A</v>
      </c>
      <c r="B2" t="str">
        <f>+'[1]A Licitar'!B2</f>
        <v>EXPANSIÓN</v>
      </c>
      <c r="C2" t="str">
        <f>+'[1]A Licitar'!C2</f>
        <v>AYSA</v>
      </c>
      <c r="D2" t="str">
        <f>+'[1]A Licitar'!D2</f>
        <v>NORTE</v>
      </c>
      <c r="E2" t="str">
        <f>+'[1]A Licitar'!E2</f>
        <v>TIGRE</v>
      </c>
      <c r="F2" t="str">
        <f>+'[1]A Licitar'!F2</f>
        <v>RED SECUNDARIA</v>
      </c>
      <c r="G2">
        <f>+'[1]A Licitar'!G2</f>
        <v>3824</v>
      </c>
      <c r="H2" t="str">
        <f>+'[1]A Licitar'!H2</f>
        <v>NA70001</v>
      </c>
      <c r="I2" t="str">
        <f>+'[1]A Licitar'!I2</f>
        <v>RED SECUNDARIA DE AGUA TALAR SUR - ZONA 1</v>
      </c>
      <c r="J2" t="str">
        <f>+'[1]A Licitar'!J2</f>
        <v>4-EN LICITACIÓN</v>
      </c>
      <c r="K2" t="str">
        <f>+'[1]A Licitar'!K2</f>
        <v>PARA APERTURA DE SOBRES
21-09-2021</v>
      </c>
      <c r="L2" t="str">
        <f>+'[1]A Licitar'!L2</f>
        <v>Pliego 2021</v>
      </c>
      <c r="M2" s="1">
        <f>+'[1]A Licitar'!M2</f>
        <v>44438</v>
      </c>
      <c r="N2" t="str">
        <f>+'[1]A Licitar'!N2</f>
        <v>DIP</v>
      </c>
      <c r="O2" s="1">
        <f>+'[1]A Licitar'!O2</f>
        <v>44438</v>
      </c>
      <c r="P2" s="1">
        <f>+'[1]A Licitar'!P2</f>
        <v>44460</v>
      </c>
      <c r="Q2" s="1">
        <f>+'[1]A Licitar'!Q2</f>
        <v>44550</v>
      </c>
      <c r="R2" s="1">
        <f>+'[1]A Licitar'!R2</f>
        <v>44595</v>
      </c>
      <c r="S2">
        <f>+'[1]A Licitar'!S2</f>
        <v>390</v>
      </c>
      <c r="T2" s="1">
        <f>+'[1]A Licitar'!T2</f>
        <v>45045</v>
      </c>
      <c r="U2">
        <f>+'[1]A Licitar'!U2</f>
        <v>195473215.4716</v>
      </c>
      <c r="V2" s="1">
        <f>+'[1]A Licitar'!V2</f>
        <v>44378</v>
      </c>
    </row>
    <row r="3" spans="1:22" x14ac:dyDescent="0.35">
      <c r="A3" t="str">
        <f>+'[1]A Licitar'!A3</f>
        <v>A</v>
      </c>
      <c r="B3" t="str">
        <f>+'[1]A Licitar'!B3</f>
        <v>EXPANSIÓN</v>
      </c>
      <c r="C3" t="str">
        <f>+'[1]A Licitar'!C3</f>
        <v>AYSA</v>
      </c>
      <c r="D3" t="str">
        <f>+'[1]A Licitar'!D3</f>
        <v>NORTE</v>
      </c>
      <c r="E3" t="str">
        <f>+'[1]A Licitar'!E3</f>
        <v>TIGRE</v>
      </c>
      <c r="F3" t="str">
        <f>+'[1]A Licitar'!F3</f>
        <v>RED SECUNDARIA</v>
      </c>
      <c r="G3">
        <f>+'[1]A Licitar'!G3</f>
        <v>6932</v>
      </c>
      <c r="H3" t="str">
        <f>+'[1]A Licitar'!H3</f>
        <v>NA70217</v>
      </c>
      <c r="I3" t="str">
        <f>+'[1]A Licitar'!I3</f>
        <v>RED SECUNDARIA DE AGUA TALAR SUR - ZONA 2</v>
      </c>
      <c r="J3" t="str">
        <f>+'[1]A Licitar'!J3</f>
        <v>4-EN LICITACIÓN</v>
      </c>
      <c r="K3" t="str">
        <f>+'[1]A Licitar'!K3</f>
        <v>PARA APERTURA DE SOBRES
21-09-2021</v>
      </c>
      <c r="L3" t="str">
        <f>+'[1]A Licitar'!L3</f>
        <v>Pliego 2021</v>
      </c>
      <c r="M3" s="1">
        <f>+'[1]A Licitar'!M3</f>
        <v>44438</v>
      </c>
      <c r="N3" t="str">
        <f>+'[1]A Licitar'!N3</f>
        <v>DIP</v>
      </c>
      <c r="O3" s="1">
        <f>+'[1]A Licitar'!O3</f>
        <v>44438</v>
      </c>
      <c r="P3" s="1">
        <f>+'[1]A Licitar'!P3</f>
        <v>44460</v>
      </c>
      <c r="Q3" s="1">
        <f>+'[1]A Licitar'!Q3</f>
        <v>44550</v>
      </c>
      <c r="R3" s="1">
        <f>+'[1]A Licitar'!R3</f>
        <v>44595</v>
      </c>
      <c r="S3">
        <f>+'[1]A Licitar'!S3</f>
        <v>300</v>
      </c>
      <c r="T3" s="1">
        <f>+'[1]A Licitar'!T3</f>
        <v>44955</v>
      </c>
      <c r="U3">
        <f>+'[1]A Licitar'!U3</f>
        <v>138866758.88030002</v>
      </c>
      <c r="V3" s="1">
        <f>+'[1]A Licitar'!V3</f>
        <v>44378</v>
      </c>
    </row>
    <row r="4" spans="1:22" x14ac:dyDescent="0.35">
      <c r="A4" t="str">
        <f>+'[1]A Licitar'!A4</f>
        <v>A</v>
      </c>
      <c r="B4" t="str">
        <f>+'[1]A Licitar'!B4</f>
        <v>EXPANSIÓN</v>
      </c>
      <c r="C4" t="str">
        <f>+'[1]A Licitar'!C4</f>
        <v>AYSA</v>
      </c>
      <c r="D4" t="str">
        <f>+'[1]A Licitar'!D4</f>
        <v>NORTE</v>
      </c>
      <c r="E4" t="str">
        <f>+'[1]A Licitar'!E4</f>
        <v>TIGRE</v>
      </c>
      <c r="F4" t="str">
        <f>+'[1]A Licitar'!F4</f>
        <v>RED SECUNDARIA</v>
      </c>
      <c r="G4">
        <f>+'[1]A Licitar'!G4</f>
        <v>1217</v>
      </c>
      <c r="H4" t="str">
        <f>+'[1]A Licitar'!H4</f>
        <v>NA70219</v>
      </c>
      <c r="I4" t="str">
        <f>+'[1]A Licitar'!I4</f>
        <v>RED SECUNDARIA DE AGUA TALAR SUR - ZONA 4</v>
      </c>
      <c r="J4" t="str">
        <f>+'[1]A Licitar'!J4</f>
        <v>4-EN LICITACIÓN</v>
      </c>
      <c r="K4" t="str">
        <f>+'[1]A Licitar'!K4</f>
        <v>PARA APERTURA DE SOBRES
22-09-2021</v>
      </c>
      <c r="L4" t="str">
        <f>+'[1]A Licitar'!L4</f>
        <v>Pliego 2021</v>
      </c>
      <c r="M4" s="1">
        <f>+'[1]A Licitar'!M4</f>
        <v>44438</v>
      </c>
      <c r="N4" t="str">
        <f>+'[1]A Licitar'!N4</f>
        <v>DIP</v>
      </c>
      <c r="O4" s="1">
        <f>+'[1]A Licitar'!O4</f>
        <v>44438</v>
      </c>
      <c r="P4" s="1">
        <f>+'[1]A Licitar'!P4</f>
        <v>44461</v>
      </c>
      <c r="Q4" s="1">
        <f>+'[1]A Licitar'!Q4</f>
        <v>44551</v>
      </c>
      <c r="R4" s="1">
        <f>+'[1]A Licitar'!R4</f>
        <v>44596</v>
      </c>
      <c r="S4">
        <f>+'[1]A Licitar'!S4</f>
        <v>360</v>
      </c>
      <c r="T4" s="1">
        <f>+'[1]A Licitar'!T4</f>
        <v>45016</v>
      </c>
      <c r="U4">
        <f>+'[1]A Licitar'!U4</f>
        <v>86031636.980300009</v>
      </c>
      <c r="V4" s="1">
        <f>+'[1]A Licitar'!V4</f>
        <v>44378</v>
      </c>
    </row>
    <row r="5" spans="1:22" x14ac:dyDescent="0.35">
      <c r="A5" t="str">
        <f>+'[1]A Licitar'!A5</f>
        <v>A</v>
      </c>
      <c r="B5" t="str">
        <f>+'[1]A Licitar'!B5</f>
        <v>EXPANSIÓN</v>
      </c>
      <c r="C5" t="str">
        <f>+'[1]A Licitar'!C5</f>
        <v>AYSA</v>
      </c>
      <c r="D5" t="str">
        <f>+'[1]A Licitar'!D5</f>
        <v>NORTE</v>
      </c>
      <c r="E5" t="str">
        <f>+'[1]A Licitar'!E5</f>
        <v>TIGRE</v>
      </c>
      <c r="F5" t="str">
        <f>+'[1]A Licitar'!F5</f>
        <v>RED SECUNDARIA</v>
      </c>
      <c r="G5">
        <f>+'[1]A Licitar'!G5</f>
        <v>3857</v>
      </c>
      <c r="H5" t="str">
        <f>+'[1]A Licitar'!H5</f>
        <v>NA70218</v>
      </c>
      <c r="I5" t="str">
        <f>+'[1]A Licitar'!I5</f>
        <v>RED SECUNDARIA DE AGUA TALAR SUR - ZONA 3</v>
      </c>
      <c r="J5" t="str">
        <f>+'[1]A Licitar'!J5</f>
        <v>4-EN LICITACIÓN</v>
      </c>
      <c r="K5" t="str">
        <f>+'[1]A Licitar'!K5</f>
        <v>PARA APERTURA DE SOBRES
22-09-2021</v>
      </c>
      <c r="L5" t="str">
        <f>+'[1]A Licitar'!L5</f>
        <v>Pliego 2021</v>
      </c>
      <c r="M5" s="1">
        <f>+'[1]A Licitar'!M5</f>
        <v>44438</v>
      </c>
      <c r="N5" t="str">
        <f>+'[1]A Licitar'!N5</f>
        <v>DIP</v>
      </c>
      <c r="O5" s="1">
        <f>+'[1]A Licitar'!O5</f>
        <v>44438</v>
      </c>
      <c r="P5" s="1">
        <f>+'[1]A Licitar'!P5</f>
        <v>44461</v>
      </c>
      <c r="Q5" s="1">
        <f>+'[1]A Licitar'!Q5</f>
        <v>44551</v>
      </c>
      <c r="R5" s="1">
        <f>+'[1]A Licitar'!R5</f>
        <v>44596</v>
      </c>
      <c r="S5">
        <f>+'[1]A Licitar'!S5</f>
        <v>360</v>
      </c>
      <c r="T5" s="1">
        <f>+'[1]A Licitar'!T5</f>
        <v>45016</v>
      </c>
      <c r="U5">
        <f>+'[1]A Licitar'!U5</f>
        <v>198387560.01569998</v>
      </c>
      <c r="V5" s="1">
        <f>+'[1]A Licitar'!V5</f>
        <v>44378</v>
      </c>
    </row>
    <row r="6" spans="1:22" x14ac:dyDescent="0.35">
      <c r="A6" t="str">
        <f>+'[1]A Licitar'!A6</f>
        <v>A</v>
      </c>
      <c r="B6" t="str">
        <f>+'[1]A Licitar'!B6</f>
        <v>EXPANSIÓN</v>
      </c>
      <c r="C6" t="str">
        <f>+'[1]A Licitar'!C6</f>
        <v>AYSA</v>
      </c>
      <c r="D6" t="str">
        <f>+'[1]A Licitar'!D6</f>
        <v>C.A.B.A.</v>
      </c>
      <c r="E6" t="str">
        <f>+'[1]A Licitar'!E6</f>
        <v>C.A.B.A.</v>
      </c>
      <c r="F6" t="str">
        <f>+'[1]A Licitar'!F6</f>
        <v>RED SECUNDARIA</v>
      </c>
      <c r="G6">
        <f>+'[1]A Licitar'!G6</f>
        <v>43000</v>
      </c>
      <c r="H6" t="str">
        <f>+'[1]A Licitar'!H6</f>
        <v>CA70050</v>
      </c>
      <c r="I6" t="str">
        <f>+'[1]A Licitar'!I6</f>
        <v>RENOVACIÓN E INSTALACIÓN DE RED DE AGUA BARRIO 1-11-14</v>
      </c>
      <c r="J6" t="str">
        <f>+'[1]A Licitar'!J6</f>
        <v>4-EN LICITACIÓN</v>
      </c>
      <c r="K6" t="str">
        <f>+'[1]A Licitar'!K6</f>
        <v>PARA APERTURA DE SOBRES
23-09-2021</v>
      </c>
      <c r="L6" t="str">
        <f>+'[1]A Licitar'!L6</f>
        <v>Pliego 2021</v>
      </c>
      <c r="M6" s="1">
        <f>+'[1]A Licitar'!M6</f>
        <v>44438</v>
      </c>
      <c r="N6" t="str">
        <f>+'[1]A Licitar'!N6</f>
        <v>DTyDT</v>
      </c>
      <c r="O6" s="1">
        <f>+'[1]A Licitar'!O6</f>
        <v>44438</v>
      </c>
      <c r="P6" s="1">
        <f>+'[1]A Licitar'!P6</f>
        <v>44462</v>
      </c>
      <c r="Q6" s="1">
        <f>+'[1]A Licitar'!Q6</f>
        <v>44552</v>
      </c>
      <c r="R6" s="1">
        <f>+'[1]A Licitar'!R6</f>
        <v>44597</v>
      </c>
      <c r="S6">
        <f>+'[1]A Licitar'!S6</f>
        <v>330</v>
      </c>
      <c r="T6" s="1">
        <f>+'[1]A Licitar'!T6</f>
        <v>44987</v>
      </c>
      <c r="U6">
        <f>+'[1]A Licitar'!U6</f>
        <v>410128849.01999998</v>
      </c>
      <c r="V6" s="1">
        <f>+'[1]A Licitar'!V6</f>
        <v>44409</v>
      </c>
    </row>
    <row r="7" spans="1:22" x14ac:dyDescent="0.35">
      <c r="A7" t="str">
        <f>+'[1]A Licitar'!A7</f>
        <v>A</v>
      </c>
      <c r="B7" t="str">
        <f>+'[1]A Licitar'!B7</f>
        <v>EXPANSIÓN</v>
      </c>
      <c r="C7" t="str">
        <f>+'[1]A Licitar'!C7</f>
        <v>AYSA</v>
      </c>
      <c r="D7" t="str">
        <f>+'[1]A Licitar'!D7</f>
        <v>SUDOESTE</v>
      </c>
      <c r="E7" t="str">
        <f>+'[1]A Licitar'!E7</f>
        <v>ESTEBAN ECHEVERRÍA</v>
      </c>
      <c r="F7" t="str">
        <f>+'[1]A Licitar'!F7</f>
        <v>RED SECUNDARIA</v>
      </c>
      <c r="G7">
        <f>+'[1]A Licitar'!G7</f>
        <v>2990</v>
      </c>
      <c r="H7" t="str">
        <f>+'[1]A Licitar'!H7</f>
        <v>SA70277</v>
      </c>
      <c r="I7" t="str">
        <f>+'[1]A Licitar'!I7</f>
        <v>RED SECUNDARIA DE AGUA SANTA ISABEL - ETAPA 1</v>
      </c>
      <c r="J7" t="str">
        <f>+'[1]A Licitar'!J7</f>
        <v>4-EN LICITACIÓN</v>
      </c>
      <c r="K7" t="str">
        <f>+'[1]A Licitar'!K7</f>
        <v>A PUBLICAR</v>
      </c>
      <c r="L7" t="str">
        <f>+'[1]A Licitar'!L7</f>
        <v>Pliego 2021</v>
      </c>
      <c r="M7" s="1">
        <f>+'[1]A Licitar'!M7</f>
        <v>44438</v>
      </c>
      <c r="N7" t="str">
        <f>+'[1]A Licitar'!N7</f>
        <v>DIP</v>
      </c>
      <c r="O7" s="1">
        <f>+'[1]A Licitar'!O7</f>
        <v>44469</v>
      </c>
      <c r="P7" s="1">
        <f>+'[1]A Licitar'!P7</f>
        <v>44514</v>
      </c>
      <c r="Q7" s="1">
        <f>+'[1]A Licitar'!Q7</f>
        <v>44604</v>
      </c>
      <c r="R7" s="1">
        <f>+'[1]A Licitar'!R7</f>
        <v>44649</v>
      </c>
      <c r="S7">
        <f>+'[1]A Licitar'!S7</f>
        <v>270</v>
      </c>
      <c r="T7" s="1">
        <f>+'[1]A Licitar'!T7</f>
        <v>44979</v>
      </c>
      <c r="U7">
        <f>+'[1]A Licitar'!U7</f>
        <v>92799875.979799986</v>
      </c>
      <c r="V7" s="1">
        <f>+'[1]A Licitar'!V7</f>
        <v>44409</v>
      </c>
    </row>
    <row r="8" spans="1:22" x14ac:dyDescent="0.35">
      <c r="A8" t="str">
        <f>+'[1]A Licitar'!A8</f>
        <v>C</v>
      </c>
      <c r="B8" t="str">
        <f>+'[1]A Licitar'!B8</f>
        <v>EXPANSIÓN</v>
      </c>
      <c r="C8" t="str">
        <f>+'[1]A Licitar'!C8</f>
        <v>BID 2 TRAMO 3</v>
      </c>
      <c r="D8" t="str">
        <f>+'[1]A Licitar'!D8</f>
        <v>NORTE</v>
      </c>
      <c r="E8" t="str">
        <f>+'[1]A Licitar'!E8</f>
        <v>TIGRE</v>
      </c>
      <c r="F8" t="str">
        <f>+'[1]A Licitar'!F8</f>
        <v>RED SECUNDARIA</v>
      </c>
      <c r="G8">
        <f>+'[1]A Licitar'!G8</f>
        <v>3629</v>
      </c>
      <c r="H8" t="str">
        <f>+'[1]A Licitar'!H8</f>
        <v>NC70157</v>
      </c>
      <c r="I8" t="str">
        <f>+'[1]A Licitar'!I8</f>
        <v>RED SECUNDARIA CLOACAL PUEBLO NUEVO 1 ESTE ÁREA 3</v>
      </c>
      <c r="J8" t="str">
        <f>+'[1]A Licitar'!J8</f>
        <v>4-EN LICITACIÓN</v>
      </c>
      <c r="K8" t="str">
        <f>+'[1]A Licitar'!K8</f>
        <v>A PUBLICAR</v>
      </c>
      <c r="L8" t="str">
        <f>+'[1]A Licitar'!L8</f>
        <v>Pliego 2021</v>
      </c>
      <c r="M8" s="1">
        <f>+'[1]A Licitar'!M8</f>
        <v>44438</v>
      </c>
      <c r="N8" t="str">
        <f>+'[1]A Licitar'!N8</f>
        <v>DIP</v>
      </c>
      <c r="O8" s="1">
        <f>+'[1]A Licitar'!O8</f>
        <v>44469</v>
      </c>
      <c r="P8" s="1">
        <f>+'[1]A Licitar'!P8</f>
        <v>44514</v>
      </c>
      <c r="Q8" s="1">
        <f>+'[1]A Licitar'!Q8</f>
        <v>44604</v>
      </c>
      <c r="R8" s="1">
        <f>+'[1]A Licitar'!R8</f>
        <v>44649</v>
      </c>
      <c r="S8">
        <f>+'[1]A Licitar'!S8</f>
        <v>420</v>
      </c>
      <c r="T8" s="1">
        <f>+'[1]A Licitar'!T8</f>
        <v>45129</v>
      </c>
      <c r="U8">
        <f>+'[1]A Licitar'!U8</f>
        <v>204185962.33199999</v>
      </c>
      <c r="V8" s="1">
        <f>+'[1]A Licitar'!V8</f>
        <v>44378</v>
      </c>
    </row>
    <row r="9" spans="1:22" x14ac:dyDescent="0.35">
      <c r="A9" t="str">
        <f>+'[1]A Licitar'!A9</f>
        <v>A</v>
      </c>
      <c r="B9" t="str">
        <f>+'[1]A Licitar'!B9</f>
        <v>EXPANSIÓN</v>
      </c>
      <c r="C9" t="str">
        <f>+'[1]A Licitar'!C9</f>
        <v>AYSA</v>
      </c>
      <c r="D9" t="str">
        <f>+'[1]A Licitar'!D9</f>
        <v>C.A.B.A.</v>
      </c>
      <c r="E9" t="str">
        <f>+'[1]A Licitar'!E9</f>
        <v>C.A.B.A.</v>
      </c>
      <c r="F9" t="str">
        <f>+'[1]A Licitar'!F9</f>
        <v>RED SECUNDARIA</v>
      </c>
      <c r="G9">
        <f>+'[1]A Licitar'!G9</f>
        <v>75489</v>
      </c>
      <c r="H9" t="str">
        <f>+'[1]A Licitar'!H9</f>
        <v>CA70049</v>
      </c>
      <c r="I9" t="str">
        <f>+'[1]A Licitar'!I9</f>
        <v>RENOVACIÓN E INSTALACIÓN DE RED DE AGUA BARRIO 21-24</v>
      </c>
      <c r="J9" t="str">
        <f>+'[1]A Licitar'!J9</f>
        <v>5-EN PROYECTO</v>
      </c>
      <c r="K9" t="str">
        <f>+'[1]A Licitar'!K9</f>
        <v>PROY EN ELABORACIÓN</v>
      </c>
      <c r="L9" t="str">
        <f>+'[1]A Licitar'!L9</f>
        <v>Pliego 2021</v>
      </c>
      <c r="M9" s="1">
        <f>+'[1]A Licitar'!M9</f>
        <v>44438</v>
      </c>
      <c r="N9" t="str">
        <f>+'[1]A Licitar'!N9</f>
        <v>DTyDT</v>
      </c>
      <c r="O9" s="1">
        <f>+'[1]A Licitar'!O9</f>
        <v>44469</v>
      </c>
      <c r="P9" s="1">
        <f>+'[1]A Licitar'!P9</f>
        <v>44514</v>
      </c>
      <c r="Q9" s="1">
        <f>+'[1]A Licitar'!Q9</f>
        <v>44604</v>
      </c>
      <c r="R9" s="1">
        <f>+'[1]A Licitar'!R9</f>
        <v>44649</v>
      </c>
      <c r="S9">
        <f>+'[1]A Licitar'!S9</f>
        <v>360</v>
      </c>
      <c r="T9" s="1">
        <f>+'[1]A Licitar'!T9</f>
        <v>45069</v>
      </c>
      <c r="U9">
        <f>+'[1]A Licitar'!U9</f>
        <v>300000000</v>
      </c>
      <c r="V9" s="1">
        <f>+'[1]A Licitar'!V9</f>
        <v>44197</v>
      </c>
    </row>
    <row r="10" spans="1:22" x14ac:dyDescent="0.35">
      <c r="A10" t="str">
        <f>+'[1]A Licitar'!A10</f>
        <v>A</v>
      </c>
      <c r="B10" t="str">
        <f>+'[1]A Licitar'!B10</f>
        <v>EXPANSIÓN</v>
      </c>
      <c r="C10" t="str">
        <f>+'[1]A Licitar'!C10</f>
        <v>AYSA</v>
      </c>
      <c r="D10" t="str">
        <f>+'[1]A Licitar'!D10</f>
        <v>NORTE</v>
      </c>
      <c r="E10" t="str">
        <f>+'[1]A Licitar'!E10</f>
        <v>TIGRE</v>
      </c>
      <c r="F10" t="str">
        <f>+'[1]A Licitar'!F10</f>
        <v>RED SECUNDARIA</v>
      </c>
      <c r="G10">
        <f>+'[1]A Licitar'!G10</f>
        <v>1800</v>
      </c>
      <c r="H10" t="str">
        <f>+'[1]A Licitar'!H10</f>
        <v>NA70009</v>
      </c>
      <c r="I10" t="str">
        <f>+'[1]A Licitar'!I10</f>
        <v>RED SECUNDARIA RICARDO ROJAS M4</v>
      </c>
      <c r="J10" t="str">
        <f>+'[1]A Licitar'!J10</f>
        <v>5-EN PROYECTO</v>
      </c>
      <c r="K10" t="str">
        <f>+'[1]A Licitar'!K10</f>
        <v>REALIZADO EN DI</v>
      </c>
      <c r="L10" t="str">
        <f>+'[1]A Licitar'!L10</f>
        <v>Pliego 2021</v>
      </c>
      <c r="M10" s="1">
        <f>+'[1]A Licitar'!M10</f>
        <v>44285</v>
      </c>
      <c r="N10" t="str">
        <f>+'[1]A Licitar'!N10</f>
        <v>DIP</v>
      </c>
      <c r="O10" s="1">
        <f>+'[1]A Licitar'!O10</f>
        <v>44469</v>
      </c>
      <c r="P10" s="1">
        <f>+'[1]A Licitar'!P10</f>
        <v>44514</v>
      </c>
      <c r="Q10" s="1">
        <f>+'[1]A Licitar'!Q10</f>
        <v>44604</v>
      </c>
      <c r="R10" s="1">
        <f>+'[1]A Licitar'!R10</f>
        <v>44649</v>
      </c>
      <c r="S10">
        <f>+'[1]A Licitar'!S10</f>
        <v>240</v>
      </c>
      <c r="T10" s="1">
        <f>+'[1]A Licitar'!T10</f>
        <v>44949</v>
      </c>
      <c r="U10">
        <f>+'[1]A Licitar'!U10</f>
        <v>16217787.20531508</v>
      </c>
      <c r="V10" s="1">
        <f>+'[1]A Licitar'!V10</f>
        <v>43374</v>
      </c>
    </row>
    <row r="11" spans="1:22" x14ac:dyDescent="0.35">
      <c r="A11" t="str">
        <f>+'[1]A Licitar'!A11</f>
        <v>C</v>
      </c>
      <c r="B11" t="str">
        <f>+'[1]A Licitar'!B11</f>
        <v>EXPANSIÓN</v>
      </c>
      <c r="C11" t="str">
        <f>+'[1]A Licitar'!C11</f>
        <v>BID 2 TRAMO 3</v>
      </c>
      <c r="D11" t="str">
        <f>+'[1]A Licitar'!D11</f>
        <v>NORTE</v>
      </c>
      <c r="E11" t="str">
        <f>+'[1]A Licitar'!E11</f>
        <v>TIGRE</v>
      </c>
      <c r="F11" t="str">
        <f>+'[1]A Licitar'!F11</f>
        <v>RED SECUNDARIA</v>
      </c>
      <c r="G11">
        <f>+'[1]A Licitar'!G11</f>
        <v>7286</v>
      </c>
      <c r="H11" t="str">
        <f>+'[1]A Licitar'!H11</f>
        <v>NC70149</v>
      </c>
      <c r="I11" t="str">
        <f>+'[1]A Licitar'!I11</f>
        <v>RED SECUNDARIA CLOACAL 20 DE JULIO OESTE AREA 2</v>
      </c>
      <c r="J11" t="str">
        <f>+'[1]A Licitar'!J11</f>
        <v>5-EN PROYECTO</v>
      </c>
      <c r="K11" t="str">
        <f>+'[1]A Licitar'!K11</f>
        <v>REALIZADO EN DPT/DIP</v>
      </c>
      <c r="L11" t="str">
        <f>+'[1]A Licitar'!L11</f>
        <v>Pliego 2021</v>
      </c>
      <c r="M11" s="1">
        <f>+'[1]A Licitar'!M11</f>
        <v>44438</v>
      </c>
      <c r="N11" t="str">
        <f>+'[1]A Licitar'!N11</f>
        <v>DIP</v>
      </c>
      <c r="O11" s="1">
        <f>+'[1]A Licitar'!O11</f>
        <v>44469</v>
      </c>
      <c r="P11" s="1">
        <f>+'[1]A Licitar'!P11</f>
        <v>44514</v>
      </c>
      <c r="Q11" s="1">
        <f>+'[1]A Licitar'!Q11</f>
        <v>44604</v>
      </c>
      <c r="R11" s="1">
        <f>+'[1]A Licitar'!R11</f>
        <v>44649</v>
      </c>
      <c r="S11">
        <f>+'[1]A Licitar'!S11</f>
        <v>480</v>
      </c>
      <c r="T11" s="1">
        <f>+'[1]A Licitar'!T11</f>
        <v>45189</v>
      </c>
      <c r="U11">
        <f>+'[1]A Licitar'!U11</f>
        <v>241159615.44086862</v>
      </c>
      <c r="V11" s="1">
        <f>+'[1]A Licitar'!V11</f>
        <v>44197</v>
      </c>
    </row>
    <row r="12" spans="1:22" x14ac:dyDescent="0.35">
      <c r="A12" t="str">
        <f>+'[1]A Licitar'!A12</f>
        <v>C</v>
      </c>
      <c r="B12" t="str">
        <f>+'[1]A Licitar'!B12</f>
        <v>EXPANSIÓN</v>
      </c>
      <c r="C12" t="str">
        <f>+'[1]A Licitar'!C12</f>
        <v>BID 2 TRAMO 3</v>
      </c>
      <c r="D12" t="str">
        <f>+'[1]A Licitar'!D12</f>
        <v>NORTE</v>
      </c>
      <c r="E12" t="str">
        <f>+'[1]A Licitar'!E12</f>
        <v>TIGRE</v>
      </c>
      <c r="F12" t="str">
        <f>+'[1]A Licitar'!F12</f>
        <v>RED SECUNDARIA</v>
      </c>
      <c r="G12">
        <f>+'[1]A Licitar'!G12</f>
        <v>3250</v>
      </c>
      <c r="H12" t="str">
        <f>+'[1]A Licitar'!H12</f>
        <v>NC70146</v>
      </c>
      <c r="I12" t="str">
        <f>+'[1]A Licitar'!I12</f>
        <v>RED SECUNDARIA CLOACAL LOMAS DEL TALAR OESTE - ZONA B</v>
      </c>
      <c r="J12" t="str">
        <f>+'[1]A Licitar'!J12</f>
        <v>5-EN PROYECTO</v>
      </c>
      <c r="K12" t="str">
        <f>+'[1]A Licitar'!K12</f>
        <v>REALIZADO EN DPT/DIP</v>
      </c>
      <c r="L12" t="str">
        <f>+'[1]A Licitar'!L12</f>
        <v>Pliego 2021</v>
      </c>
      <c r="M12" s="1">
        <f>+'[1]A Licitar'!M12</f>
        <v>44438</v>
      </c>
      <c r="N12" t="str">
        <f>+'[1]A Licitar'!N12</f>
        <v>DIP</v>
      </c>
      <c r="O12" s="1">
        <f>+'[1]A Licitar'!O12</f>
        <v>44469</v>
      </c>
      <c r="P12" s="1">
        <f>+'[1]A Licitar'!P12</f>
        <v>44514</v>
      </c>
      <c r="Q12" s="1">
        <f>+'[1]A Licitar'!Q12</f>
        <v>44604</v>
      </c>
      <c r="R12" s="1">
        <f>+'[1]A Licitar'!R12</f>
        <v>44649</v>
      </c>
      <c r="S12">
        <f>+'[1]A Licitar'!S12</f>
        <v>330</v>
      </c>
      <c r="T12" s="1">
        <f>+'[1]A Licitar'!T12</f>
        <v>45039</v>
      </c>
      <c r="U12">
        <f>+'[1]A Licitar'!U12</f>
        <v>250639444.72456086</v>
      </c>
      <c r="V12" s="1">
        <f>+'[1]A Licitar'!V12</f>
        <v>44197</v>
      </c>
    </row>
    <row r="13" spans="1:22" x14ac:dyDescent="0.35">
      <c r="A13" t="str">
        <f>+'[1]A Licitar'!A13</f>
        <v>A</v>
      </c>
      <c r="B13" t="str">
        <f>+'[1]A Licitar'!B13</f>
        <v>EXPANSIÓN</v>
      </c>
      <c r="C13" t="str">
        <f>+'[1]A Licitar'!C13</f>
        <v>AYSA</v>
      </c>
      <c r="D13" t="str">
        <f>+'[1]A Licitar'!D13</f>
        <v>SUDOESTE</v>
      </c>
      <c r="E13" t="str">
        <f>+'[1]A Licitar'!E13</f>
        <v>LOMAS DE ZAMORA</v>
      </c>
      <c r="F13" t="str">
        <f>+'[1]A Licitar'!F13</f>
        <v>RED SECUNDARIA</v>
      </c>
      <c r="G13">
        <f>+'[1]A Licitar'!G13</f>
        <v>1878</v>
      </c>
      <c r="H13" t="str">
        <f>+'[1]A Licitar'!H13</f>
        <v>SA70138</v>
      </c>
      <c r="I13" t="str">
        <f>+'[1]A Licitar'!I13</f>
        <v>RED SECUNDARIA DE AGUA BARRIO OBRERO</v>
      </c>
      <c r="J13" t="str">
        <f>+'[1]A Licitar'!J13</f>
        <v>5-EN PROYECTO</v>
      </c>
      <c r="K13" t="str">
        <f>+'[1]A Licitar'!K13</f>
        <v>PROY EN ELABORACIÓN</v>
      </c>
      <c r="L13" t="str">
        <f>+'[1]A Licitar'!L13</f>
        <v>Pliego 2021</v>
      </c>
      <c r="M13" s="1">
        <f>+'[1]A Licitar'!M13</f>
        <v>44469</v>
      </c>
      <c r="N13" t="str">
        <f>+'[1]A Licitar'!N13</f>
        <v>DIP</v>
      </c>
      <c r="O13" s="1">
        <f>+'[1]A Licitar'!O13</f>
        <v>44499</v>
      </c>
      <c r="P13" s="1">
        <f>+'[1]A Licitar'!P13</f>
        <v>44544</v>
      </c>
      <c r="Q13" s="1">
        <f>+'[1]A Licitar'!Q13</f>
        <v>44634</v>
      </c>
      <c r="R13" s="1">
        <f>+'[1]A Licitar'!R13</f>
        <v>44679</v>
      </c>
      <c r="S13">
        <f>+'[1]A Licitar'!S13</f>
        <v>240</v>
      </c>
      <c r="T13" s="1">
        <f>+'[1]A Licitar'!T13</f>
        <v>44979</v>
      </c>
      <c r="U13">
        <f>+'[1]A Licitar'!U13</f>
        <v>13815152.063786918</v>
      </c>
      <c r="V13" s="1">
        <f>+'[1]A Licitar'!V13</f>
        <v>43374</v>
      </c>
    </row>
    <row r="14" spans="1:22" x14ac:dyDescent="0.35">
      <c r="A14" t="str">
        <f>+'[1]A Licitar'!A14</f>
        <v>C</v>
      </c>
      <c r="B14" t="str">
        <f>+'[1]A Licitar'!B14</f>
        <v>EXPANSIÓN</v>
      </c>
      <c r="C14" t="str">
        <f>+'[1]A Licitar'!C14</f>
        <v>AYSA</v>
      </c>
      <c r="D14" t="str">
        <f>+'[1]A Licitar'!D14</f>
        <v>NORTE</v>
      </c>
      <c r="E14" t="str">
        <f>+'[1]A Licitar'!E14</f>
        <v>ESCOBAR</v>
      </c>
      <c r="F14" t="str">
        <f>+'[1]A Licitar'!F14</f>
        <v>RED SECUNDARIA</v>
      </c>
      <c r="G14">
        <f>+'[1]A Licitar'!G14</f>
        <v>4500</v>
      </c>
      <c r="H14" t="str">
        <f>+'[1]A Licitar'!H14</f>
        <v>NC70191</v>
      </c>
      <c r="I14" t="str">
        <f>+'[1]A Licitar'!I14</f>
        <v>RED SECUNDARIA CLOACAL BARRIO LA CHECHELA</v>
      </c>
      <c r="J14" t="str">
        <f>+'[1]A Licitar'!J14</f>
        <v>5-EN PROYECTO</v>
      </c>
      <c r="K14" t="str">
        <f>+'[1]A Licitar'!K14</f>
        <v>PROY EN ELABORACIÓN</v>
      </c>
      <c r="L14" t="str">
        <f>+'[1]A Licitar'!L14</f>
        <v>Pliego 2021</v>
      </c>
      <c r="M14" s="1">
        <f>+'[1]A Licitar'!M14</f>
        <v>44469</v>
      </c>
      <c r="N14" t="str">
        <f>+'[1]A Licitar'!N14</f>
        <v>DIP</v>
      </c>
      <c r="O14" s="1">
        <f>+'[1]A Licitar'!O14</f>
        <v>44499</v>
      </c>
      <c r="P14" s="1">
        <f>+'[1]A Licitar'!P14</f>
        <v>44544</v>
      </c>
      <c r="Q14" s="1">
        <f>+'[1]A Licitar'!Q14</f>
        <v>44634</v>
      </c>
      <c r="R14" s="1">
        <f>+'[1]A Licitar'!R14</f>
        <v>44679</v>
      </c>
      <c r="S14">
        <f>+'[1]A Licitar'!S14</f>
        <v>360</v>
      </c>
      <c r="T14" s="1">
        <f>+'[1]A Licitar'!T14</f>
        <v>45099</v>
      </c>
      <c r="U14">
        <f>+'[1]A Licitar'!U14</f>
        <v>100000000</v>
      </c>
      <c r="V14" s="1">
        <f>+'[1]A Licitar'!V14</f>
        <v>44105</v>
      </c>
    </row>
    <row r="15" spans="1:22" x14ac:dyDescent="0.35">
      <c r="A15" t="str">
        <f>+'[1]A Licitar'!A15</f>
        <v>C</v>
      </c>
      <c r="B15" t="str">
        <f>+'[1]A Licitar'!B15</f>
        <v>EXPANSIÓN</v>
      </c>
      <c r="C15" t="str">
        <f>+'[1]A Licitar'!C15</f>
        <v>BID 2 TRAMO 3</v>
      </c>
      <c r="D15" t="str">
        <f>+'[1]A Licitar'!D15</f>
        <v>NORTE</v>
      </c>
      <c r="E15" t="str">
        <f>+'[1]A Licitar'!E15</f>
        <v>TIGRE</v>
      </c>
      <c r="F15" t="str">
        <f>+'[1]A Licitar'!F15</f>
        <v>RED SECUNDARIA</v>
      </c>
      <c r="G15">
        <f>+'[1]A Licitar'!G15</f>
        <v>15000</v>
      </c>
      <c r="H15" t="str">
        <f>+'[1]A Licitar'!H15</f>
        <v>NC70192</v>
      </c>
      <c r="I15" t="str">
        <f>+'[1]A Licitar'!I15</f>
        <v>RED SECUNDARIA CLOACAL DON TORCUATO ZONA C</v>
      </c>
      <c r="J15" t="str">
        <f>+'[1]A Licitar'!J15</f>
        <v>5-EN PROYECTO</v>
      </c>
      <c r="K15" t="str">
        <f>+'[1]A Licitar'!K15</f>
        <v>PROY EN ELABORACIÓN</v>
      </c>
      <c r="L15" t="str">
        <f>+'[1]A Licitar'!L15</f>
        <v>Pliego 2021</v>
      </c>
      <c r="M15" s="1">
        <f>+'[1]A Licitar'!M15</f>
        <v>44469</v>
      </c>
      <c r="N15" t="str">
        <f>+'[1]A Licitar'!N15</f>
        <v>DIP</v>
      </c>
      <c r="O15" s="1">
        <f>+'[1]A Licitar'!O15</f>
        <v>44499</v>
      </c>
      <c r="P15" s="1">
        <f>+'[1]A Licitar'!P15</f>
        <v>44544</v>
      </c>
      <c r="Q15" s="1">
        <f>+'[1]A Licitar'!Q15</f>
        <v>44634</v>
      </c>
      <c r="R15" s="1">
        <f>+'[1]A Licitar'!R15</f>
        <v>44679</v>
      </c>
      <c r="S15">
        <f>+'[1]A Licitar'!S15</f>
        <v>720</v>
      </c>
      <c r="T15" s="1">
        <f>+'[1]A Licitar'!T15</f>
        <v>45459</v>
      </c>
      <c r="U15">
        <f>+'[1]A Licitar'!U15</f>
        <v>620996200</v>
      </c>
      <c r="V15" s="1">
        <f>+'[1]A Licitar'!V15</f>
        <v>43374</v>
      </c>
    </row>
    <row r="16" spans="1:22" x14ac:dyDescent="0.35">
      <c r="A16" t="str">
        <f>+'[1]A Licitar'!A16</f>
        <v>C</v>
      </c>
      <c r="B16" t="str">
        <f>+'[1]A Licitar'!B16</f>
        <v>EXPANSIÓN</v>
      </c>
      <c r="C16" t="str">
        <f>+'[1]A Licitar'!C16</f>
        <v>BID 2 TRAMO 3</v>
      </c>
      <c r="D16" t="str">
        <f>+'[1]A Licitar'!D16</f>
        <v>NORTE</v>
      </c>
      <c r="E16" t="str">
        <f>+'[1]A Licitar'!E16</f>
        <v>TIGRE</v>
      </c>
      <c r="F16" t="str">
        <f>+'[1]A Licitar'!F16</f>
        <v>RED SECUNDARIA</v>
      </c>
      <c r="G16">
        <f>+'[1]A Licitar'!G16</f>
        <v>3250</v>
      </c>
      <c r="H16" t="str">
        <f>+'[1]A Licitar'!H16</f>
        <v>NC70041</v>
      </c>
      <c r="I16" t="str">
        <f>+'[1]A Licitar'!I16</f>
        <v>RED SECUNDARIA CLOACAL LOMAS DEL TALAR OESTE - ZONA A</v>
      </c>
      <c r="J16" t="str">
        <f>+'[1]A Licitar'!J16</f>
        <v>5-EN PROYECTO</v>
      </c>
      <c r="K16" t="str">
        <f>+'[1]A Licitar'!K16</f>
        <v>REALIZADO EN DPT/DIP</v>
      </c>
      <c r="L16" t="str">
        <f>+'[1]A Licitar'!L16</f>
        <v>Pliego 2021</v>
      </c>
      <c r="M16" s="1">
        <f>+'[1]A Licitar'!M16</f>
        <v>44469</v>
      </c>
      <c r="N16" t="str">
        <f>+'[1]A Licitar'!N16</f>
        <v>DIP</v>
      </c>
      <c r="O16" s="1">
        <f>+'[1]A Licitar'!O16</f>
        <v>44499</v>
      </c>
      <c r="P16" s="1">
        <f>+'[1]A Licitar'!P16</f>
        <v>44544</v>
      </c>
      <c r="Q16" s="1">
        <f>+'[1]A Licitar'!Q16</f>
        <v>44634</v>
      </c>
      <c r="R16" s="1">
        <f>+'[1]A Licitar'!R16</f>
        <v>44679</v>
      </c>
      <c r="S16">
        <f>+'[1]A Licitar'!S16</f>
        <v>330</v>
      </c>
      <c r="T16" s="1">
        <f>+'[1]A Licitar'!T16</f>
        <v>45069</v>
      </c>
      <c r="U16">
        <f>+'[1]A Licitar'!U16</f>
        <v>265183799.92963099</v>
      </c>
      <c r="V16" s="1">
        <f>+'[1]A Licitar'!V16</f>
        <v>44197</v>
      </c>
    </row>
    <row r="17" spans="1:22" x14ac:dyDescent="0.35">
      <c r="A17" t="str">
        <f>+'[1]A Licitar'!A17</f>
        <v>C</v>
      </c>
      <c r="B17" t="str">
        <f>+'[1]A Licitar'!B17</f>
        <v>EXPANSIÓN</v>
      </c>
      <c r="C17" t="str">
        <f>+'[1]A Licitar'!C17</f>
        <v>BID 2 TRAMO 3</v>
      </c>
      <c r="D17" t="str">
        <f>+'[1]A Licitar'!D17</f>
        <v>NORTE</v>
      </c>
      <c r="E17" t="str">
        <f>+'[1]A Licitar'!E17</f>
        <v>TIGRE</v>
      </c>
      <c r="F17" t="str">
        <f>+'[1]A Licitar'!F17</f>
        <v>RED SECUNDARIA</v>
      </c>
      <c r="G17">
        <f>+'[1]A Licitar'!G17</f>
        <v>7000</v>
      </c>
      <c r="H17" t="str">
        <f>+'[1]A Licitar'!H17</f>
        <v>NC70039</v>
      </c>
      <c r="I17" t="str">
        <f>+'[1]A Licitar'!I17</f>
        <v>RED SECUNDARIA CLOACAL LOMAS DEL TALAR ESTE</v>
      </c>
      <c r="J17" t="str">
        <f>+'[1]A Licitar'!J17</f>
        <v>5-EN PROYECTO</v>
      </c>
      <c r="K17" t="str">
        <f>+'[1]A Licitar'!K17</f>
        <v>REALIZADO EN DPT/DIP</v>
      </c>
      <c r="L17" t="str">
        <f>+'[1]A Licitar'!L17</f>
        <v>Pliego 2021</v>
      </c>
      <c r="M17" s="1">
        <f>+'[1]A Licitar'!M17</f>
        <v>44469</v>
      </c>
      <c r="N17" t="str">
        <f>+'[1]A Licitar'!N17</f>
        <v>DIP</v>
      </c>
      <c r="O17" s="1">
        <f>+'[1]A Licitar'!O17</f>
        <v>44499</v>
      </c>
      <c r="P17" s="1">
        <f>+'[1]A Licitar'!P17</f>
        <v>44544</v>
      </c>
      <c r="Q17" s="1">
        <f>+'[1]A Licitar'!Q17</f>
        <v>44634</v>
      </c>
      <c r="R17" s="1">
        <f>+'[1]A Licitar'!R17</f>
        <v>44679</v>
      </c>
      <c r="S17">
        <f>+'[1]A Licitar'!S17</f>
        <v>390</v>
      </c>
      <c r="T17" s="1">
        <f>+'[1]A Licitar'!T17</f>
        <v>45129</v>
      </c>
      <c r="U17">
        <f>+'[1]A Licitar'!U17</f>
        <v>344870523.93657172</v>
      </c>
      <c r="V17" s="1">
        <f>+'[1]A Licitar'!V17</f>
        <v>44197</v>
      </c>
    </row>
    <row r="18" spans="1:22" x14ac:dyDescent="0.35">
      <c r="A18" t="str">
        <f>+'[1]A Licitar'!A18</f>
        <v>C</v>
      </c>
      <c r="B18" t="str">
        <f>+'[1]A Licitar'!B18</f>
        <v>EXPANSIÓN</v>
      </c>
      <c r="C18" t="str">
        <f>+'[1]A Licitar'!C18</f>
        <v>BID 2 TRAMO 3</v>
      </c>
      <c r="D18" t="str">
        <f>+'[1]A Licitar'!D18</f>
        <v>NORTE</v>
      </c>
      <c r="E18" t="str">
        <f>+'[1]A Licitar'!E18</f>
        <v>TIGRE</v>
      </c>
      <c r="F18" t="str">
        <f>+'[1]A Licitar'!F18</f>
        <v>RED SECUNDARIA</v>
      </c>
      <c r="G18">
        <f>+'[1]A Licitar'!G18</f>
        <v>3148</v>
      </c>
      <c r="H18" t="str">
        <f>+'[1]A Licitar'!H18</f>
        <v>S/P3</v>
      </c>
      <c r="I18" t="str">
        <f>+'[1]A Licitar'!I18</f>
        <v>RED SECUNDARIA CLOACAL LÓPEZ CAMELO SUR RESTO</v>
      </c>
      <c r="J18" t="str">
        <f>+'[1]A Licitar'!J18</f>
        <v>5-EN PROYECTO</v>
      </c>
      <c r="K18" t="str">
        <f>+'[1]A Licitar'!K18</f>
        <v>PROY A ELABORAR</v>
      </c>
      <c r="L18" t="str">
        <f>+'[1]A Licitar'!L18</f>
        <v>Pliego 2021</v>
      </c>
      <c r="M18" s="1">
        <f>+'[1]A Licitar'!M18</f>
        <v>44499</v>
      </c>
      <c r="N18" t="str">
        <f>+'[1]A Licitar'!N18</f>
        <v>DIP</v>
      </c>
      <c r="O18" s="1">
        <f>+'[1]A Licitar'!O18</f>
        <v>44530</v>
      </c>
      <c r="P18" s="1">
        <f>+'[1]A Licitar'!P18</f>
        <v>44575</v>
      </c>
      <c r="Q18" s="1">
        <f>+'[1]A Licitar'!Q18</f>
        <v>44665</v>
      </c>
      <c r="R18" s="1">
        <f>+'[1]A Licitar'!R18</f>
        <v>44710</v>
      </c>
      <c r="S18">
        <f>+'[1]A Licitar'!S18</f>
        <v>510</v>
      </c>
      <c r="T18" s="1">
        <f>+'[1]A Licitar'!T18</f>
        <v>45280</v>
      </c>
      <c r="U18">
        <f>+'[1]A Licitar'!U18</f>
        <v>207539200</v>
      </c>
      <c r="V18" s="1">
        <f>+'[1]A Licitar'!V18</f>
        <v>43374</v>
      </c>
    </row>
    <row r="19" spans="1:22" x14ac:dyDescent="0.35">
      <c r="A19" t="str">
        <f>+'[1]A Licitar'!A19</f>
        <v>C</v>
      </c>
      <c r="B19" t="str">
        <f>+'[1]A Licitar'!B19</f>
        <v>EXPANSIÓN</v>
      </c>
      <c r="C19" t="str">
        <f>+'[1]A Licitar'!C19</f>
        <v>AYSA</v>
      </c>
      <c r="D19" t="str">
        <f>+'[1]A Licitar'!D19</f>
        <v>NORTE</v>
      </c>
      <c r="E19" t="str">
        <f>+'[1]A Licitar'!E19</f>
        <v>MALVINAS ARGENTINAS</v>
      </c>
      <c r="F19" t="str">
        <f>+'[1]A Licitar'!F19</f>
        <v>RED SECUNDARIA</v>
      </c>
      <c r="G19">
        <f>+'[1]A Licitar'!G19</f>
        <v>2190</v>
      </c>
      <c r="H19" t="str">
        <f>+'[1]A Licitar'!H19</f>
        <v>NC70199</v>
      </c>
      <c r="I19" t="str">
        <f>+'[1]A Licitar'!I19</f>
        <v>RED SECUNDARIA CLOACAL VILLA DE MAYO 1 - RESTO</v>
      </c>
      <c r="J19" t="str">
        <f>+'[1]A Licitar'!J19</f>
        <v>5-EN PROYECTO</v>
      </c>
      <c r="K19" t="str">
        <f>+'[1]A Licitar'!K19</f>
        <v>PROY EN ELABORACIÓN</v>
      </c>
      <c r="L19" t="str">
        <f>+'[1]A Licitar'!L19</f>
        <v>Pliego 2021</v>
      </c>
      <c r="M19" s="1">
        <f>+'[1]A Licitar'!M19</f>
        <v>44530</v>
      </c>
      <c r="N19" t="str">
        <f>+'[1]A Licitar'!N19</f>
        <v>DIP</v>
      </c>
      <c r="O19" s="1">
        <f>+'[1]A Licitar'!O19</f>
        <v>44560</v>
      </c>
      <c r="P19" s="1">
        <f>+'[1]A Licitar'!P19</f>
        <v>44605</v>
      </c>
      <c r="Q19" s="1">
        <f>+'[1]A Licitar'!Q19</f>
        <v>44695</v>
      </c>
      <c r="R19" s="1">
        <f>+'[1]A Licitar'!R19</f>
        <v>44740</v>
      </c>
      <c r="S19">
        <f>+'[1]A Licitar'!S19</f>
        <v>300</v>
      </c>
      <c r="T19" s="1">
        <f>+'[1]A Licitar'!T19</f>
        <v>45100</v>
      </c>
      <c r="U19">
        <f>+'[1]A Licitar'!U19</f>
        <v>112215051.33849999</v>
      </c>
      <c r="V19" s="1">
        <f>+'[1]A Licitar'!V19</f>
        <v>44287</v>
      </c>
    </row>
    <row r="20" spans="1:22" x14ac:dyDescent="0.35">
      <c r="A20" t="str">
        <f>+'[1]A Licitar'!A20</f>
        <v>C</v>
      </c>
      <c r="B20" t="str">
        <f>+'[1]A Licitar'!B20</f>
        <v>EXPANSIÓN</v>
      </c>
      <c r="C20" t="str">
        <f>+'[1]A Licitar'!C20</f>
        <v>AYSA</v>
      </c>
      <c r="D20" t="str">
        <f>+'[1]A Licitar'!D20</f>
        <v>NORTE</v>
      </c>
      <c r="E20" t="str">
        <f>+'[1]A Licitar'!E20</f>
        <v>MALVINAS ARGENTINAS</v>
      </c>
      <c r="F20" t="str">
        <f>+'[1]A Licitar'!F20</f>
        <v>RED SECUNDARIA</v>
      </c>
      <c r="G20">
        <f>+'[1]A Licitar'!G20</f>
        <v>7927</v>
      </c>
      <c r="H20" t="str">
        <f>+'[1]A Licitar'!H20</f>
        <v>NC70200</v>
      </c>
      <c r="I20" t="str">
        <f>+'[1]A Licitar'!I20</f>
        <v>RED SECUNDARIA CLOACAL VILLA DE MAYO 2</v>
      </c>
      <c r="J20" t="str">
        <f>+'[1]A Licitar'!J20</f>
        <v>5-EN PROYECTO</v>
      </c>
      <c r="K20" t="str">
        <f>+'[1]A Licitar'!K20</f>
        <v>PROY EN ELABORACIÓN</v>
      </c>
      <c r="L20" t="str">
        <f>+'[1]A Licitar'!L20</f>
        <v>Pliego 2021</v>
      </c>
      <c r="M20" s="1">
        <f>+'[1]A Licitar'!M20</f>
        <v>44530</v>
      </c>
      <c r="N20" t="str">
        <f>+'[1]A Licitar'!N20</f>
        <v>DIP</v>
      </c>
      <c r="O20" s="1">
        <f>+'[1]A Licitar'!O20</f>
        <v>44560</v>
      </c>
      <c r="P20" s="1">
        <f>+'[1]A Licitar'!P20</f>
        <v>44605</v>
      </c>
      <c r="Q20" s="1">
        <f>+'[1]A Licitar'!Q20</f>
        <v>44695</v>
      </c>
      <c r="R20" s="1">
        <f>+'[1]A Licitar'!R20</f>
        <v>44740</v>
      </c>
      <c r="S20">
        <f>+'[1]A Licitar'!S20</f>
        <v>300</v>
      </c>
      <c r="T20" s="1">
        <f>+'[1]A Licitar'!T20</f>
        <v>45100</v>
      </c>
      <c r="U20">
        <f>+'[1]A Licitar'!U20</f>
        <v>112215051.33849999</v>
      </c>
      <c r="V20" s="1">
        <f>+'[1]A Licitar'!V20</f>
        <v>44287</v>
      </c>
    </row>
    <row r="21" spans="1:22" x14ac:dyDescent="0.35">
      <c r="A21" t="str">
        <f>+'[1]A Licitar'!A21</f>
        <v>C</v>
      </c>
      <c r="B21" t="str">
        <f>+'[1]A Licitar'!B21</f>
        <v>EXPANSIÓN</v>
      </c>
      <c r="C21" t="str">
        <f>+'[1]A Licitar'!C21</f>
        <v>AYSA</v>
      </c>
      <c r="D21" t="str">
        <f>+'[1]A Licitar'!D21</f>
        <v>NORTE</v>
      </c>
      <c r="E21" t="str">
        <f>+'[1]A Licitar'!E21</f>
        <v>TIGRE</v>
      </c>
      <c r="F21" t="str">
        <f>+'[1]A Licitar'!F21</f>
        <v>RED SECUNDARIA</v>
      </c>
      <c r="G21">
        <f>+'[1]A Licitar'!G21</f>
        <v>0</v>
      </c>
      <c r="H21" t="str">
        <f>+'[1]A Licitar'!H21</f>
        <v>S/P3</v>
      </c>
      <c r="I21" t="str">
        <f>+'[1]A Licitar'!I21</f>
        <v>RED SECUNDARIA CLOACAL PUEBLO NUEVO SUR RESTO</v>
      </c>
      <c r="J21" t="str">
        <f>+'[1]A Licitar'!J21</f>
        <v>5-EN PROYECTO</v>
      </c>
      <c r="K21" t="str">
        <f>+'[1]A Licitar'!K21</f>
        <v>PROY EN ELABORACIÓN</v>
      </c>
      <c r="L21" t="str">
        <f>+'[1]A Licitar'!L21</f>
        <v>Pliego 2021</v>
      </c>
      <c r="M21" s="1">
        <f>+'[1]A Licitar'!M21</f>
        <v>44530</v>
      </c>
      <c r="N21" t="str">
        <f>+'[1]A Licitar'!N21</f>
        <v>DIP</v>
      </c>
      <c r="O21" s="1">
        <f>+'[1]A Licitar'!O21</f>
        <v>44560</v>
      </c>
      <c r="P21" s="1">
        <f>+'[1]A Licitar'!P21</f>
        <v>44605</v>
      </c>
      <c r="Q21" s="1">
        <f>+'[1]A Licitar'!Q21</f>
        <v>44695</v>
      </c>
      <c r="R21" s="1">
        <f>+'[1]A Licitar'!R21</f>
        <v>44740</v>
      </c>
      <c r="S21">
        <f>+'[1]A Licitar'!S21</f>
        <v>720</v>
      </c>
      <c r="T21" s="1">
        <f>+'[1]A Licitar'!T21</f>
        <v>45520</v>
      </c>
      <c r="U21">
        <f>+'[1]A Licitar'!U21</f>
        <v>620996200</v>
      </c>
      <c r="V21" s="1">
        <f>+'[1]A Licitar'!V21</f>
        <v>43374</v>
      </c>
    </row>
    <row r="22" spans="1:22" x14ac:dyDescent="0.35">
      <c r="A22" t="str">
        <f>+'[1]A Licitar'!A22</f>
        <v>C</v>
      </c>
      <c r="B22" t="str">
        <f>+'[1]A Licitar'!B22</f>
        <v>EXPANSIÓN</v>
      </c>
      <c r="C22" t="str">
        <f>+'[1]A Licitar'!C22</f>
        <v>AYSA</v>
      </c>
      <c r="D22" t="str">
        <f>+'[1]A Licitar'!D22</f>
        <v>OESTE</v>
      </c>
      <c r="E22" t="str">
        <f>+'[1]A Licitar'!E22</f>
        <v>ITUZAINGÓ</v>
      </c>
      <c r="F22" t="str">
        <f>+'[1]A Licitar'!F22</f>
        <v>RED SECUNDARIA</v>
      </c>
      <c r="G22">
        <f>+'[1]A Licitar'!G22</f>
        <v>8174</v>
      </c>
      <c r="H22" t="str">
        <f>+'[1]A Licitar'!H22</f>
        <v>OC70227</v>
      </c>
      <c r="I22" t="str">
        <f>+'[1]A Licitar'!I22</f>
        <v>RED SECUNDARIA CLOACAL COLECTOR MARTÍN RODRÍGUEZ ETAPA 2 - CUENCA II</v>
      </c>
      <c r="J22" t="str">
        <f>+'[1]A Licitar'!J22</f>
        <v>5-EN PROYECTO</v>
      </c>
      <c r="K22" t="str">
        <f>+'[1]A Licitar'!K22</f>
        <v>REALIZADO EN DPT/DIP</v>
      </c>
      <c r="L22" t="str">
        <f>+'[1]A Licitar'!L22</f>
        <v>Pliego 2021</v>
      </c>
      <c r="M22" s="1">
        <f>+'[1]A Licitar'!M22</f>
        <v>44530</v>
      </c>
      <c r="N22" t="str">
        <f>+'[1]A Licitar'!N22</f>
        <v>DIP</v>
      </c>
      <c r="O22" s="1">
        <f>+'[1]A Licitar'!O22</f>
        <v>44560</v>
      </c>
      <c r="P22" s="1">
        <f>+'[1]A Licitar'!P22</f>
        <v>44605</v>
      </c>
      <c r="Q22" s="1">
        <f>+'[1]A Licitar'!Q22</f>
        <v>44695</v>
      </c>
      <c r="R22" s="1">
        <f>+'[1]A Licitar'!R22</f>
        <v>44740</v>
      </c>
      <c r="S22">
        <f>+'[1]A Licitar'!S22</f>
        <v>370</v>
      </c>
      <c r="T22" s="1">
        <f>+'[1]A Licitar'!T22</f>
        <v>45170</v>
      </c>
      <c r="U22">
        <f>+'[1]A Licitar'!U22</f>
        <v>419893896.72714639</v>
      </c>
      <c r="V22" s="1">
        <f>+'[1]A Licitar'!V22</f>
        <v>44197</v>
      </c>
    </row>
    <row r="23" spans="1:22" x14ac:dyDescent="0.35">
      <c r="A23" t="str">
        <f>+'[1]A Licitar'!A23</f>
        <v>C</v>
      </c>
      <c r="B23" t="str">
        <f>+'[1]A Licitar'!B23</f>
        <v>EXPANSIÓN</v>
      </c>
      <c r="C23" t="str">
        <f>+'[1]A Licitar'!C23</f>
        <v>AYSA</v>
      </c>
      <c r="D23" t="str">
        <f>+'[1]A Licitar'!D23</f>
        <v>C.A.B.A.</v>
      </c>
      <c r="E23" t="str">
        <f>+'[1]A Licitar'!E23</f>
        <v>C.A.B.A.</v>
      </c>
      <c r="F23" t="str">
        <f>+'[1]A Licitar'!F23</f>
        <v>RED SECUNDARIA</v>
      </c>
      <c r="G23">
        <f>+'[1]A Licitar'!G23</f>
        <v>0</v>
      </c>
      <c r="H23" t="str">
        <f>+'[1]A Licitar'!H23</f>
        <v>S/P3</v>
      </c>
      <c r="I23" t="str">
        <f>+'[1]A Licitar'!I23</f>
        <v>CONVENIO CABA-AYSA Villa 21-24</v>
      </c>
      <c r="J23" t="str">
        <f>+'[1]A Licitar'!J23</f>
        <v>5-EN PROYECTO</v>
      </c>
      <c r="K23" t="str">
        <f>+'[1]A Licitar'!K23</f>
        <v>PROY EN ELABORACIÓN</v>
      </c>
      <c r="L23" t="str">
        <f>+'[1]A Licitar'!L23</f>
        <v>Pliego 2021</v>
      </c>
      <c r="M23" s="1">
        <f>+'[1]A Licitar'!M23</f>
        <v>44560</v>
      </c>
      <c r="N23" t="str">
        <f>+'[1]A Licitar'!N23</f>
        <v>DIP</v>
      </c>
      <c r="O23" s="1">
        <f>+'[1]A Licitar'!O23</f>
        <v>44591</v>
      </c>
      <c r="P23" s="1">
        <f>+'[1]A Licitar'!P23</f>
        <v>44636</v>
      </c>
      <c r="Q23" s="1">
        <f>+'[1]A Licitar'!Q23</f>
        <v>44726</v>
      </c>
      <c r="R23" s="1">
        <f>+'[1]A Licitar'!R23</f>
        <v>44771</v>
      </c>
      <c r="S23">
        <f>+'[1]A Licitar'!S23</f>
        <v>360</v>
      </c>
      <c r="T23" s="1">
        <f>+'[1]A Licitar'!T23</f>
        <v>45191</v>
      </c>
      <c r="U23">
        <f>+'[1]A Licitar'!U23</f>
        <v>93921645.687430009</v>
      </c>
      <c r="V23" s="1">
        <f>+'[1]A Licitar'!V23</f>
        <v>43374</v>
      </c>
    </row>
    <row r="24" spans="1:22" x14ac:dyDescent="0.35">
      <c r="A24" t="str">
        <f>+'[1]A Licitar'!A24</f>
        <v>C</v>
      </c>
      <c r="B24" t="str">
        <f>+'[1]A Licitar'!B24</f>
        <v>EXPANSIÓN</v>
      </c>
      <c r="C24" t="str">
        <f>+'[1]A Licitar'!C24</f>
        <v>BID 2 TRAMO 3</v>
      </c>
      <c r="D24" t="str">
        <f>+'[1]A Licitar'!D24</f>
        <v>NORTE</v>
      </c>
      <c r="E24" t="str">
        <f>+'[1]A Licitar'!E24</f>
        <v>TIGRE</v>
      </c>
      <c r="F24" t="str">
        <f>+'[1]A Licitar'!F24</f>
        <v>RED SECUNDARIA</v>
      </c>
      <c r="G24">
        <f>+'[1]A Licitar'!G24</f>
        <v>3049</v>
      </c>
      <c r="H24" t="str">
        <f>+'[1]A Licitar'!H24</f>
        <v>NC70038</v>
      </c>
      <c r="I24" t="str">
        <f>+'[1]A Licitar'!I24</f>
        <v>RED SECUNDARIA CLOACAL GOLF</v>
      </c>
      <c r="J24" t="str">
        <f>+'[1]A Licitar'!J24</f>
        <v>5-EN PROYECTO</v>
      </c>
      <c r="K24" t="str">
        <f>+'[1]A Licitar'!K24</f>
        <v>REALIZADO EN DPT/DIP</v>
      </c>
      <c r="L24" t="str">
        <f>+'[1]A Licitar'!L24</f>
        <v>Pliego 2021</v>
      </c>
      <c r="M24" s="1">
        <f>+'[1]A Licitar'!M24</f>
        <v>44560</v>
      </c>
      <c r="N24" t="str">
        <f>+'[1]A Licitar'!N24</f>
        <v>DIP</v>
      </c>
      <c r="O24" s="1">
        <f>+'[1]A Licitar'!O24</f>
        <v>44591</v>
      </c>
      <c r="P24" s="1">
        <f>+'[1]A Licitar'!P24</f>
        <v>44636</v>
      </c>
      <c r="Q24" s="1">
        <f>+'[1]A Licitar'!Q24</f>
        <v>44726</v>
      </c>
      <c r="R24" s="1">
        <f>+'[1]A Licitar'!R24</f>
        <v>44771</v>
      </c>
      <c r="S24">
        <f>+'[1]A Licitar'!S24</f>
        <v>330</v>
      </c>
      <c r="T24" s="1">
        <f>+'[1]A Licitar'!T24</f>
        <v>45161</v>
      </c>
      <c r="U24">
        <f>+'[1]A Licitar'!U24</f>
        <v>179228022.3948037</v>
      </c>
      <c r="V24" s="1">
        <f>+'[1]A Licitar'!V24</f>
        <v>44197</v>
      </c>
    </row>
    <row r="25" spans="1:22" x14ac:dyDescent="0.35">
      <c r="A25" t="str">
        <f>+'[1]A Licitar'!A25</f>
        <v>C</v>
      </c>
      <c r="B25" t="str">
        <f>+'[1]A Licitar'!B25</f>
        <v>EXPANSIÓN</v>
      </c>
      <c r="C25" t="str">
        <f>+'[1]A Licitar'!C25</f>
        <v>AYSA</v>
      </c>
      <c r="D25" t="str">
        <f>+'[1]A Licitar'!D25</f>
        <v>C.A.B.A.</v>
      </c>
      <c r="E25" t="str">
        <f>+'[1]A Licitar'!E25</f>
        <v>C.A.B.A.</v>
      </c>
      <c r="F25" t="str">
        <f>+'[1]A Licitar'!F25</f>
        <v>RED SECUNDARIA</v>
      </c>
      <c r="G25">
        <f>+'[1]A Licitar'!G25</f>
        <v>0</v>
      </c>
      <c r="H25" t="str">
        <f>+'[1]A Licitar'!H25</f>
        <v>S/P3</v>
      </c>
      <c r="I25" t="str">
        <f>+'[1]A Licitar'!I25</f>
        <v>CONVENIO CABA-AYSA Villa 11-14</v>
      </c>
      <c r="J25" t="str">
        <f>+'[1]A Licitar'!J25</f>
        <v>5-EN PROYECTO</v>
      </c>
      <c r="K25" t="str">
        <f>+'[1]A Licitar'!K25</f>
        <v>PROY A ELABORAR</v>
      </c>
      <c r="L25" t="str">
        <f>+'[1]A Licitar'!L25</f>
        <v>Pliego 2022</v>
      </c>
      <c r="M25" s="1">
        <f>+'[1]A Licitar'!M25</f>
        <v>44591</v>
      </c>
      <c r="N25" t="str">
        <f>+'[1]A Licitar'!N25</f>
        <v>DTyDT</v>
      </c>
      <c r="O25" s="1">
        <f>+'[1]A Licitar'!O25</f>
        <v>44620</v>
      </c>
      <c r="P25" s="1">
        <f>+'[1]A Licitar'!P25</f>
        <v>44665</v>
      </c>
      <c r="Q25" s="1">
        <f>+'[1]A Licitar'!Q25</f>
        <v>44755</v>
      </c>
      <c r="R25" s="1">
        <f>+'[1]A Licitar'!R25</f>
        <v>44800</v>
      </c>
      <c r="S25">
        <f>+'[1]A Licitar'!S25</f>
        <v>360</v>
      </c>
      <c r="T25" s="1">
        <f>+'[1]A Licitar'!T25</f>
        <v>45220</v>
      </c>
      <c r="U25">
        <f>+'[1]A Licitar'!U25</f>
        <v>50000000</v>
      </c>
      <c r="V25" s="1">
        <f>+'[1]A Licitar'!V25</f>
        <v>44197</v>
      </c>
    </row>
    <row r="26" spans="1:22" x14ac:dyDescent="0.35">
      <c r="A26" t="str">
        <f>+'[1]A Licitar'!A26</f>
        <v>C</v>
      </c>
      <c r="B26" t="str">
        <f>+'[1]A Licitar'!B26</f>
        <v>EXPANSIÓN</v>
      </c>
      <c r="C26" t="str">
        <f>+'[1]A Licitar'!C26</f>
        <v>AYSA</v>
      </c>
      <c r="D26" t="str">
        <f>+'[1]A Licitar'!D26</f>
        <v>SUDOESTE</v>
      </c>
      <c r="E26" t="str">
        <f>+'[1]A Licitar'!E26</f>
        <v>ESTEBAN ECHEVERRÍA</v>
      </c>
      <c r="F26" t="str">
        <f>+'[1]A Licitar'!F26</f>
        <v>RED SECUNDARIA</v>
      </c>
      <c r="G26">
        <f>+'[1]A Licitar'!G26</f>
        <v>12649</v>
      </c>
      <c r="H26" t="str">
        <f>+'[1]A Licitar'!H26</f>
        <v>SC70048</v>
      </c>
      <c r="I26" t="str">
        <f>+'[1]A Licitar'!I26</f>
        <v>RED SECUNDARIA CLOACAL SANTA CATALINA 3° ETAPA</v>
      </c>
      <c r="J26" t="str">
        <f>+'[1]A Licitar'!J26</f>
        <v>5-EN PROYECTO</v>
      </c>
      <c r="K26" t="str">
        <f>+'[1]A Licitar'!K26</f>
        <v>PROY ELAB A ACTUALIZAR</v>
      </c>
      <c r="L26" t="str">
        <f>+'[1]A Licitar'!L26</f>
        <v>Pliego 2022</v>
      </c>
      <c r="M26" s="1">
        <f>+'[1]A Licitar'!M26</f>
        <v>44591</v>
      </c>
      <c r="N26" t="str">
        <f>+'[1]A Licitar'!N26</f>
        <v>DIP</v>
      </c>
      <c r="O26" s="1">
        <f>+'[1]A Licitar'!O26</f>
        <v>44620</v>
      </c>
      <c r="P26" s="1">
        <f>+'[1]A Licitar'!P26</f>
        <v>44665</v>
      </c>
      <c r="Q26" s="1">
        <f>+'[1]A Licitar'!Q26</f>
        <v>44755</v>
      </c>
      <c r="R26" s="1">
        <f>+'[1]A Licitar'!R26</f>
        <v>44800</v>
      </c>
      <c r="S26">
        <f>+'[1]A Licitar'!S26</f>
        <v>600</v>
      </c>
      <c r="T26" s="1">
        <f>+'[1]A Licitar'!T26</f>
        <v>45460</v>
      </c>
      <c r="U26">
        <f>+'[1]A Licitar'!U26</f>
        <v>264288200</v>
      </c>
      <c r="V26" s="1">
        <f>+'[1]A Licitar'!V26</f>
        <v>43374</v>
      </c>
    </row>
    <row r="27" spans="1:22" x14ac:dyDescent="0.35">
      <c r="A27" t="str">
        <f>+'[1]A Licitar'!A27</f>
        <v>C</v>
      </c>
      <c r="B27" t="str">
        <f>+'[1]A Licitar'!B27</f>
        <v>EXPANSIÓN</v>
      </c>
      <c r="C27" t="str">
        <f>+'[1]A Licitar'!C27</f>
        <v>BID 2 TRAMO 3 y BEI</v>
      </c>
      <c r="D27" t="str">
        <f>+'[1]A Licitar'!D27</f>
        <v>NORTE</v>
      </c>
      <c r="E27" t="str">
        <f>+'[1]A Licitar'!E27</f>
        <v>ESCOBAR</v>
      </c>
      <c r="F27" t="str">
        <f>+'[1]A Licitar'!F27</f>
        <v>RED SECUNDARIA</v>
      </c>
      <c r="G27">
        <f>+'[1]A Licitar'!G27</f>
        <v>2143</v>
      </c>
      <c r="H27" t="str">
        <f>+'[1]A Licitar'!H27</f>
        <v>NC70009</v>
      </c>
      <c r="I27" t="str">
        <f>+'[1]A Licitar'!I27</f>
        <v>RED SECUNDARIA CLOACAL ING. MASCHWITZ III</v>
      </c>
      <c r="J27" t="str">
        <f>+'[1]A Licitar'!J27</f>
        <v>5-EN PROYECTO</v>
      </c>
      <c r="K27" t="str">
        <f>+'[1]A Licitar'!K27</f>
        <v>PROY EN ELABORACIÓN</v>
      </c>
      <c r="L27" t="str">
        <f>+'[1]A Licitar'!L27</f>
        <v>Pliego 2022</v>
      </c>
      <c r="M27" s="1">
        <f>+'[1]A Licitar'!M27</f>
        <v>44591</v>
      </c>
      <c r="N27" t="str">
        <f>+'[1]A Licitar'!N27</f>
        <v>DIP</v>
      </c>
      <c r="O27" s="1">
        <f>+'[1]A Licitar'!O27</f>
        <v>44620</v>
      </c>
      <c r="P27" s="1">
        <f>+'[1]A Licitar'!P27</f>
        <v>44665</v>
      </c>
      <c r="Q27" s="1">
        <f>+'[1]A Licitar'!Q27</f>
        <v>44755</v>
      </c>
      <c r="R27" s="1">
        <f>+'[1]A Licitar'!R27</f>
        <v>44800</v>
      </c>
      <c r="S27">
        <f>+'[1]A Licitar'!S27</f>
        <v>540</v>
      </c>
      <c r="T27" s="1">
        <f>+'[1]A Licitar'!T27</f>
        <v>45400</v>
      </c>
      <c r="U27">
        <f>+'[1]A Licitar'!U27</f>
        <v>229530886.73346278</v>
      </c>
      <c r="V27" s="1">
        <f>+'[1]A Licitar'!V27</f>
        <v>43952</v>
      </c>
    </row>
    <row r="28" spans="1:22" x14ac:dyDescent="0.35">
      <c r="A28" t="str">
        <f>+'[1]A Licitar'!A28</f>
        <v>C</v>
      </c>
      <c r="B28" t="str">
        <f>+'[1]A Licitar'!B28</f>
        <v>EXPANSIÓN</v>
      </c>
      <c r="C28" t="str">
        <f>+'[1]A Licitar'!C28</f>
        <v>AYSA</v>
      </c>
      <c r="D28" t="str">
        <f>+'[1]A Licitar'!D28</f>
        <v>SUDESTE</v>
      </c>
      <c r="E28" t="str">
        <f>+'[1]A Licitar'!E28</f>
        <v>QUILMES</v>
      </c>
      <c r="F28" t="str">
        <f>+'[1]A Licitar'!F28</f>
        <v>RED SECUNDARIA</v>
      </c>
      <c r="G28">
        <f>+'[1]A Licitar'!G28</f>
        <v>6516</v>
      </c>
      <c r="H28" t="str">
        <f>+'[1]A Licitar'!H28</f>
        <v>SC452</v>
      </c>
      <c r="I28" t="str">
        <f>+'[1]A Licitar'!I28</f>
        <v>RED SECUNDARIA LAS PIEDRAS SUR CUENCA B - QUILMES</v>
      </c>
      <c r="J28" t="str">
        <f>+'[1]A Licitar'!J28</f>
        <v>5-EN PROYECTO</v>
      </c>
      <c r="K28" t="str">
        <f>+'[1]A Licitar'!K28</f>
        <v>PROY EN ELABORACIÓN</v>
      </c>
      <c r="L28" t="str">
        <f>+'[1]A Licitar'!L28</f>
        <v>Pliego 2022</v>
      </c>
      <c r="M28" s="1">
        <f>+'[1]A Licitar'!M28</f>
        <v>44591</v>
      </c>
      <c r="N28" t="str">
        <f>+'[1]A Licitar'!N28</f>
        <v>DIP</v>
      </c>
      <c r="O28" s="1">
        <f>+'[1]A Licitar'!O28</f>
        <v>44620</v>
      </c>
      <c r="P28" s="1">
        <f>+'[1]A Licitar'!P28</f>
        <v>44665</v>
      </c>
      <c r="Q28" s="1">
        <f>+'[1]A Licitar'!Q28</f>
        <v>44755</v>
      </c>
      <c r="R28" s="1">
        <f>+'[1]A Licitar'!R28</f>
        <v>44800</v>
      </c>
      <c r="S28">
        <f>+'[1]A Licitar'!S28</f>
        <v>420</v>
      </c>
      <c r="T28" s="1">
        <f>+'[1]A Licitar'!T28</f>
        <v>45280</v>
      </c>
      <c r="U28">
        <f>+'[1]A Licitar'!U28</f>
        <v>130385978.98349875</v>
      </c>
      <c r="V28" s="1">
        <f>+'[1]A Licitar'!V28</f>
        <v>43922</v>
      </c>
    </row>
    <row r="29" spans="1:22" x14ac:dyDescent="0.35">
      <c r="A29" t="str">
        <f>+'[1]A Licitar'!A29</f>
        <v>C</v>
      </c>
      <c r="B29" t="str">
        <f>+'[1]A Licitar'!B29</f>
        <v>EXPANSIÓN</v>
      </c>
      <c r="C29" t="str">
        <f>+'[1]A Licitar'!C29</f>
        <v>AYSA</v>
      </c>
      <c r="D29" t="str">
        <f>+'[1]A Licitar'!D29</f>
        <v>SUDOESTE</v>
      </c>
      <c r="E29" t="str">
        <f>+'[1]A Licitar'!E29</f>
        <v>LOMAS DE ZAMORA</v>
      </c>
      <c r="F29" t="str">
        <f>+'[1]A Licitar'!F29</f>
        <v>RED SECUNDARIA</v>
      </c>
      <c r="G29">
        <f>+'[1]A Licitar'!G29</f>
        <v>15847</v>
      </c>
      <c r="H29" t="str">
        <f>+'[1]A Licitar'!H29</f>
        <v>SC70127</v>
      </c>
      <c r="I29" t="str">
        <f>+'[1]A Licitar'!I29</f>
        <v>RED SECUNDARIA CLOACAL VETERE 1</v>
      </c>
      <c r="J29" t="str">
        <f>+'[1]A Licitar'!J29</f>
        <v>5-EN PROYECTO</v>
      </c>
      <c r="K29" t="str">
        <f>+'[1]A Licitar'!K29</f>
        <v>REALIZADO EN DPT/DIP</v>
      </c>
      <c r="L29" t="str">
        <f>+'[1]A Licitar'!L29</f>
        <v>Pliego 2022</v>
      </c>
      <c r="M29" s="1">
        <f>+'[1]A Licitar'!M29</f>
        <v>44591</v>
      </c>
      <c r="N29" t="str">
        <f>+'[1]A Licitar'!N29</f>
        <v>DIP</v>
      </c>
      <c r="O29" s="1">
        <f>+'[1]A Licitar'!O29</f>
        <v>44620</v>
      </c>
      <c r="P29" s="1">
        <f>+'[1]A Licitar'!P29</f>
        <v>44665</v>
      </c>
      <c r="Q29" s="1">
        <f>+'[1]A Licitar'!Q29</f>
        <v>44755</v>
      </c>
      <c r="R29" s="1">
        <f>+'[1]A Licitar'!R29</f>
        <v>44800</v>
      </c>
      <c r="S29">
        <f>+'[1]A Licitar'!S29</f>
        <v>780</v>
      </c>
      <c r="T29" s="1">
        <f>+'[1]A Licitar'!T29</f>
        <v>45640</v>
      </c>
      <c r="U29">
        <f>+'[1]A Licitar'!U29</f>
        <v>621015014.4996531</v>
      </c>
      <c r="V29" s="1">
        <f>+'[1]A Licitar'!V29</f>
        <v>44197</v>
      </c>
    </row>
    <row r="30" spans="1:22" x14ac:dyDescent="0.35">
      <c r="A30" t="str">
        <f>+'[1]A Licitar'!A30</f>
        <v>A</v>
      </c>
      <c r="B30" t="str">
        <f>+'[1]A Licitar'!B30</f>
        <v>EXPANSIÓN</v>
      </c>
      <c r="C30" t="str">
        <f>+'[1]A Licitar'!C30</f>
        <v>AYSA</v>
      </c>
      <c r="D30" t="str">
        <f>+'[1]A Licitar'!D30</f>
        <v>NORTE</v>
      </c>
      <c r="E30" t="str">
        <f>+'[1]A Licitar'!E30</f>
        <v>PILAR</v>
      </c>
      <c r="F30" t="str">
        <f>+'[1]A Licitar'!F30</f>
        <v>RED SECUNDARIA</v>
      </c>
      <c r="G30">
        <f>+'[1]A Licitar'!G30</f>
        <v>24500</v>
      </c>
      <c r="H30" t="str">
        <f>+'[1]A Licitar'!H30</f>
        <v>NA70225</v>
      </c>
      <c r="I30" t="str">
        <f>+'[1]A Licitar'!I30</f>
        <v>RED SECUNDARIA DE AGUA - PILAR 3 - Z2 (Barrio Monterrey)</v>
      </c>
      <c r="J30" t="str">
        <f>+'[1]A Licitar'!J30</f>
        <v>5-EN PROYECTO</v>
      </c>
      <c r="K30" t="str">
        <f>+'[1]A Licitar'!K30</f>
        <v>PROY EN ELABORACIÓN</v>
      </c>
      <c r="L30" t="str">
        <f>+'[1]A Licitar'!L30</f>
        <v>Pliego 2022</v>
      </c>
      <c r="M30" s="1">
        <f>+'[1]A Licitar'!M30</f>
        <v>44620</v>
      </c>
      <c r="N30" t="str">
        <f>+'[1]A Licitar'!N30</f>
        <v>DIP</v>
      </c>
      <c r="O30" s="1">
        <f>+'[1]A Licitar'!O30</f>
        <v>44650</v>
      </c>
      <c r="P30" s="1">
        <f>+'[1]A Licitar'!P30</f>
        <v>44695</v>
      </c>
      <c r="Q30" s="1">
        <f>+'[1]A Licitar'!Q30</f>
        <v>44785</v>
      </c>
      <c r="R30" s="1">
        <f>+'[1]A Licitar'!R30</f>
        <v>44830</v>
      </c>
      <c r="S30">
        <f>+'[1]A Licitar'!S30</f>
        <v>660</v>
      </c>
      <c r="T30" s="1">
        <f>+'[1]A Licitar'!T30</f>
        <v>45550</v>
      </c>
      <c r="U30">
        <f>+'[1]A Licitar'!U30</f>
        <v>177194341.687702</v>
      </c>
      <c r="V30" s="1">
        <f>+'[1]A Licitar'!V30</f>
        <v>43374</v>
      </c>
    </row>
    <row r="31" spans="1:22" x14ac:dyDescent="0.35">
      <c r="A31" t="str">
        <f>+'[1]A Licitar'!A31</f>
        <v>C</v>
      </c>
      <c r="B31" t="str">
        <f>+'[1]A Licitar'!B31</f>
        <v>EXPANSIÓN</v>
      </c>
      <c r="C31" t="str">
        <f>+'[1]A Licitar'!C31</f>
        <v>BID 2 TRAMO 3 y BEI</v>
      </c>
      <c r="D31" t="str">
        <f>+'[1]A Licitar'!D31</f>
        <v>NORTE</v>
      </c>
      <c r="E31" t="str">
        <f>+'[1]A Licitar'!E31</f>
        <v>ESCOBAR</v>
      </c>
      <c r="F31" t="str">
        <f>+'[1]A Licitar'!F31</f>
        <v>RED SECUNDARIA</v>
      </c>
      <c r="G31">
        <f>+'[1]A Licitar'!G31</f>
        <v>2947</v>
      </c>
      <c r="H31" t="str">
        <f>+'[1]A Licitar'!H31</f>
        <v>NC70010</v>
      </c>
      <c r="I31" t="str">
        <f>+'[1]A Licitar'!I31</f>
        <v>RED SECUNDARIA CLOACAL ING. MASCHWITZ IV</v>
      </c>
      <c r="J31" t="str">
        <f>+'[1]A Licitar'!J31</f>
        <v>5-EN PROYECTO</v>
      </c>
      <c r="K31" t="str">
        <f>+'[1]A Licitar'!K31</f>
        <v>PROY EN ELABORACIÓN</v>
      </c>
      <c r="L31" t="str">
        <f>+'[1]A Licitar'!L31</f>
        <v>Pliego 2022</v>
      </c>
      <c r="M31" s="1">
        <f>+'[1]A Licitar'!M31</f>
        <v>44620</v>
      </c>
      <c r="N31" t="str">
        <f>+'[1]A Licitar'!N31</f>
        <v>DIP</v>
      </c>
      <c r="O31" s="1">
        <f>+'[1]A Licitar'!O31</f>
        <v>44650</v>
      </c>
      <c r="P31" s="1">
        <f>+'[1]A Licitar'!P31</f>
        <v>44695</v>
      </c>
      <c r="Q31" s="1">
        <f>+'[1]A Licitar'!Q31</f>
        <v>44785</v>
      </c>
      <c r="R31" s="1">
        <f>+'[1]A Licitar'!R31</f>
        <v>44830</v>
      </c>
      <c r="S31">
        <f>+'[1]A Licitar'!S31</f>
        <v>510</v>
      </c>
      <c r="T31" s="1">
        <f>+'[1]A Licitar'!T31</f>
        <v>45400</v>
      </c>
      <c r="U31">
        <f>+'[1]A Licitar'!U31</f>
        <v>260527361.22562799</v>
      </c>
      <c r="V31" s="1">
        <f>+'[1]A Licitar'!V31</f>
        <v>43952</v>
      </c>
    </row>
    <row r="32" spans="1:22" x14ac:dyDescent="0.35">
      <c r="A32" t="str">
        <f>+'[1]A Licitar'!A32</f>
        <v>C</v>
      </c>
      <c r="B32" t="str">
        <f>+'[1]A Licitar'!B32</f>
        <v>EXPANSIÓN</v>
      </c>
      <c r="C32" t="str">
        <f>+'[1]A Licitar'!C32</f>
        <v>AYSA (reembolso BIRF)</v>
      </c>
      <c r="D32" t="str">
        <f>+'[1]A Licitar'!D32</f>
        <v>SUDOESTE</v>
      </c>
      <c r="E32" t="str">
        <f>+'[1]A Licitar'!E32</f>
        <v>EZEIZA</v>
      </c>
      <c r="F32" t="str">
        <f>+'[1]A Licitar'!F32</f>
        <v>RED SECUNDARIA</v>
      </c>
      <c r="G32">
        <f>+'[1]A Licitar'!G32</f>
        <v>3618</v>
      </c>
      <c r="H32" t="str">
        <f>+'[1]A Licitar'!H32</f>
        <v>SC70228</v>
      </c>
      <c r="I32" t="str">
        <f>+'[1]A Licitar'!I32</f>
        <v>RED SECUNDARIA CLOACAL EZEIZA SUR 4</v>
      </c>
      <c r="J32" t="str">
        <f>+'[1]A Licitar'!J32</f>
        <v>5-EN PROYECTO</v>
      </c>
      <c r="K32" t="str">
        <f>+'[1]A Licitar'!K32</f>
        <v>REALIZADO EN DPT/DIP</v>
      </c>
      <c r="L32" t="str">
        <f>+'[1]A Licitar'!L32</f>
        <v>Pliego 2022</v>
      </c>
      <c r="M32" s="1">
        <f>+'[1]A Licitar'!M32</f>
        <v>44620</v>
      </c>
      <c r="N32" t="str">
        <f>+'[1]A Licitar'!N32</f>
        <v>DIP</v>
      </c>
      <c r="O32" s="1">
        <f>+'[1]A Licitar'!O32</f>
        <v>44650</v>
      </c>
      <c r="P32" s="1">
        <f>+'[1]A Licitar'!P32</f>
        <v>44695</v>
      </c>
      <c r="Q32" s="1">
        <f>+'[1]A Licitar'!Q32</f>
        <v>44785</v>
      </c>
      <c r="R32" s="1">
        <f>+'[1]A Licitar'!R32</f>
        <v>44830</v>
      </c>
      <c r="S32">
        <f>+'[1]A Licitar'!S32</f>
        <v>330</v>
      </c>
      <c r="T32" s="1">
        <f>+'[1]A Licitar'!T32</f>
        <v>45220</v>
      </c>
      <c r="U32">
        <f>+'[1]A Licitar'!U32</f>
        <v>270455873.33122939</v>
      </c>
      <c r="V32" s="1">
        <f>+'[1]A Licitar'!V32</f>
        <v>44197</v>
      </c>
    </row>
    <row r="33" spans="1:22" x14ac:dyDescent="0.35">
      <c r="A33" t="str">
        <f>+'[1]A Licitar'!A33</f>
        <v>C</v>
      </c>
      <c r="B33" t="str">
        <f>+'[1]A Licitar'!B33</f>
        <v>EXPANSIÓN</v>
      </c>
      <c r="C33" t="str">
        <f>+'[1]A Licitar'!C33</f>
        <v>AYSA (reembolso BIRF)</v>
      </c>
      <c r="D33" t="str">
        <f>+'[1]A Licitar'!D33</f>
        <v>SUDOESTE</v>
      </c>
      <c r="E33" t="str">
        <f>+'[1]A Licitar'!E33</f>
        <v>EZEIZA</v>
      </c>
      <c r="F33" t="str">
        <f>+'[1]A Licitar'!F33</f>
        <v>RED SECUNDARIA</v>
      </c>
      <c r="G33">
        <f>+'[1]A Licitar'!G33</f>
        <v>3240</v>
      </c>
      <c r="H33" t="str">
        <f>+'[1]A Licitar'!H33</f>
        <v>SC70229</v>
      </c>
      <c r="I33" t="str">
        <f>+'[1]A Licitar'!I33</f>
        <v>RED SECUNDARIA CLOACAL EZEIZA SUR 5</v>
      </c>
      <c r="J33" t="str">
        <f>+'[1]A Licitar'!J33</f>
        <v>5-EN PROYECTO</v>
      </c>
      <c r="K33" t="str">
        <f>+'[1]A Licitar'!K33</f>
        <v>REALIZADO EN DPT/DIP</v>
      </c>
      <c r="L33" t="str">
        <f>+'[1]A Licitar'!L33</f>
        <v>Pliego 2022</v>
      </c>
      <c r="M33" s="1">
        <f>+'[1]A Licitar'!M33</f>
        <v>44620</v>
      </c>
      <c r="N33" t="str">
        <f>+'[1]A Licitar'!N33</f>
        <v>DIP</v>
      </c>
      <c r="O33" s="1">
        <f>+'[1]A Licitar'!O33</f>
        <v>44650</v>
      </c>
      <c r="P33" s="1">
        <f>+'[1]A Licitar'!P33</f>
        <v>44695</v>
      </c>
      <c r="Q33" s="1">
        <f>+'[1]A Licitar'!Q33</f>
        <v>44785</v>
      </c>
      <c r="R33" s="1">
        <f>+'[1]A Licitar'!R33</f>
        <v>44830</v>
      </c>
      <c r="S33">
        <f>+'[1]A Licitar'!S33</f>
        <v>330</v>
      </c>
      <c r="T33" s="1">
        <f>+'[1]A Licitar'!T33</f>
        <v>45220</v>
      </c>
      <c r="U33">
        <f>+'[1]A Licitar'!U33</f>
        <v>242191575.16273743</v>
      </c>
      <c r="V33" s="1">
        <f>+'[1]A Licitar'!V33</f>
        <v>44197</v>
      </c>
    </row>
    <row r="34" spans="1:22" x14ac:dyDescent="0.35">
      <c r="A34" t="str">
        <f>+'[1]A Licitar'!A34</f>
        <v>C</v>
      </c>
      <c r="B34" t="str">
        <f>+'[1]A Licitar'!B34</f>
        <v>EXPANSIÓN</v>
      </c>
      <c r="C34" t="str">
        <f>+'[1]A Licitar'!C34</f>
        <v>AYSA</v>
      </c>
      <c r="D34" t="str">
        <f>+'[1]A Licitar'!D34</f>
        <v>SUDESTE</v>
      </c>
      <c r="E34" t="str">
        <f>+'[1]A Licitar'!E34</f>
        <v>LANÚS</v>
      </c>
      <c r="F34" t="str">
        <f>+'[1]A Licitar'!F34</f>
        <v>RED SECUNDARIA</v>
      </c>
      <c r="G34">
        <f>+'[1]A Licitar'!G34</f>
        <v>9770</v>
      </c>
      <c r="H34" t="str">
        <f>+'[1]A Licitar'!H34</f>
        <v>SC70087</v>
      </c>
      <c r="I34" t="str">
        <f>+'[1]A Licitar'!I34</f>
        <v>RED SECUNDARIA CLOACAL BALCARCE NORTE</v>
      </c>
      <c r="J34" t="str">
        <f>+'[1]A Licitar'!J34</f>
        <v>5-EN PROYECTO</v>
      </c>
      <c r="K34" t="str">
        <f>+'[1]A Licitar'!K34</f>
        <v>REALIZADO EN DPT/DIP</v>
      </c>
      <c r="L34" t="str">
        <f>+'[1]A Licitar'!L34</f>
        <v>Pliego 2022</v>
      </c>
      <c r="M34" s="1">
        <f>+'[1]A Licitar'!M34</f>
        <v>44620</v>
      </c>
      <c r="N34" t="str">
        <f>+'[1]A Licitar'!N34</f>
        <v>DIP</v>
      </c>
      <c r="O34" s="1">
        <f>+'[1]A Licitar'!O34</f>
        <v>44650</v>
      </c>
      <c r="P34" s="1">
        <f>+'[1]A Licitar'!P34</f>
        <v>44695</v>
      </c>
      <c r="Q34" s="1">
        <f>+'[1]A Licitar'!Q34</f>
        <v>44785</v>
      </c>
      <c r="R34" s="1">
        <f>+'[1]A Licitar'!R34</f>
        <v>44830</v>
      </c>
      <c r="S34">
        <f>+'[1]A Licitar'!S34</f>
        <v>390</v>
      </c>
      <c r="T34" s="1">
        <f>+'[1]A Licitar'!T34</f>
        <v>45280</v>
      </c>
      <c r="U34">
        <f>+'[1]A Licitar'!U34</f>
        <v>376904171.15052629</v>
      </c>
      <c r="V34" s="1">
        <f>+'[1]A Licitar'!V34</f>
        <v>44197</v>
      </c>
    </row>
    <row r="35" spans="1:22" x14ac:dyDescent="0.35">
      <c r="A35" t="str">
        <f>+'[1]A Licitar'!A35</f>
        <v>C</v>
      </c>
      <c r="B35" t="str">
        <f>+'[1]A Licitar'!B35</f>
        <v>EXPANSIÓN</v>
      </c>
      <c r="C35" t="str">
        <f>+'[1]A Licitar'!C35</f>
        <v>AYSA</v>
      </c>
      <c r="D35" t="str">
        <f>+'[1]A Licitar'!D35</f>
        <v>SUDESTE</v>
      </c>
      <c r="E35" t="str">
        <f>+'[1]A Licitar'!E35</f>
        <v>LANÚS</v>
      </c>
      <c r="F35" t="str">
        <f>+'[1]A Licitar'!F35</f>
        <v>RED SECUNDARIA</v>
      </c>
      <c r="G35">
        <f>+'[1]A Licitar'!G35</f>
        <v>4192</v>
      </c>
      <c r="H35" t="str">
        <f>+'[1]A Licitar'!H35</f>
        <v>SC70088</v>
      </c>
      <c r="I35" t="str">
        <f>+'[1]A Licitar'!I35</f>
        <v>RED SECUNDARIA CLOACAL VILLA EDÉN OESTE</v>
      </c>
      <c r="J35" t="str">
        <f>+'[1]A Licitar'!J35</f>
        <v>5-EN PROYECTO</v>
      </c>
      <c r="K35" t="str">
        <f>+'[1]A Licitar'!K35</f>
        <v>REALIZADO EN DPT/DIP</v>
      </c>
      <c r="L35" t="str">
        <f>+'[1]A Licitar'!L35</f>
        <v>Pliego 2022</v>
      </c>
      <c r="M35" s="1">
        <f>+'[1]A Licitar'!M35</f>
        <v>44620</v>
      </c>
      <c r="N35" t="str">
        <f>+'[1]A Licitar'!N35</f>
        <v>DIP</v>
      </c>
      <c r="O35" s="1">
        <f>+'[1]A Licitar'!O35</f>
        <v>44650</v>
      </c>
      <c r="P35" s="1">
        <f>+'[1]A Licitar'!P35</f>
        <v>44695</v>
      </c>
      <c r="Q35" s="1">
        <f>+'[1]A Licitar'!Q35</f>
        <v>44785</v>
      </c>
      <c r="R35" s="1">
        <f>+'[1]A Licitar'!R35</f>
        <v>44830</v>
      </c>
      <c r="S35">
        <f>+'[1]A Licitar'!S35</f>
        <v>330</v>
      </c>
      <c r="T35" s="1">
        <f>+'[1]A Licitar'!T35</f>
        <v>45220</v>
      </c>
      <c r="U35">
        <f>+'[1]A Licitar'!U35</f>
        <v>143217837.54633486</v>
      </c>
      <c r="V35" s="1">
        <f>+'[1]A Licitar'!V35</f>
        <v>44197</v>
      </c>
    </row>
    <row r="36" spans="1:22" x14ac:dyDescent="0.35">
      <c r="A36" t="str">
        <f>+'[1]A Licitar'!A36</f>
        <v>C</v>
      </c>
      <c r="B36" t="str">
        <f>+'[1]A Licitar'!B36</f>
        <v>EXPANSIÓN</v>
      </c>
      <c r="C36" t="str">
        <f>+'[1]A Licitar'!C36</f>
        <v>AYSA</v>
      </c>
      <c r="D36" t="str">
        <f>+'[1]A Licitar'!D36</f>
        <v>SUDESTE</v>
      </c>
      <c r="E36" t="str">
        <f>+'[1]A Licitar'!E36</f>
        <v>QUILMES</v>
      </c>
      <c r="F36" t="str">
        <f>+'[1]A Licitar'!F36</f>
        <v>RED SECUNDARIA</v>
      </c>
      <c r="G36">
        <f>+'[1]A Licitar'!G36</f>
        <v>11344</v>
      </c>
      <c r="H36" t="str">
        <f>+'[1]A Licitar'!H36</f>
        <v>SC70076</v>
      </c>
      <c r="I36" t="str">
        <f>+'[1]A Licitar'!I36</f>
        <v>RED SECUNDARIA CLOACAL - SOLANO SUR</v>
      </c>
      <c r="J36" t="str">
        <f>+'[1]A Licitar'!J36</f>
        <v>5-EN PROYECTO</v>
      </c>
      <c r="K36" t="str">
        <f>+'[1]A Licitar'!K36</f>
        <v>PROY ELAB A ACTUALIZAR</v>
      </c>
      <c r="L36" t="str">
        <f>+'[1]A Licitar'!L36</f>
        <v>Pliego 2022</v>
      </c>
      <c r="M36" s="1">
        <f>+'[1]A Licitar'!M36</f>
        <v>44650</v>
      </c>
      <c r="N36" t="str">
        <f>+'[1]A Licitar'!N36</f>
        <v>DIP</v>
      </c>
      <c r="O36" s="1">
        <f>+'[1]A Licitar'!O36</f>
        <v>44681</v>
      </c>
      <c r="P36" s="1">
        <f>+'[1]A Licitar'!P36</f>
        <v>44726</v>
      </c>
      <c r="Q36" s="1">
        <f>+'[1]A Licitar'!Q36</f>
        <v>44816</v>
      </c>
      <c r="R36" s="1">
        <f>+'[1]A Licitar'!R36</f>
        <v>44861</v>
      </c>
      <c r="S36">
        <f>+'[1]A Licitar'!S36</f>
        <v>450</v>
      </c>
      <c r="T36" s="1">
        <f>+'[1]A Licitar'!T36</f>
        <v>45371</v>
      </c>
      <c r="U36">
        <f>+'[1]A Licitar'!U36</f>
        <v>227858360.87762338</v>
      </c>
      <c r="V36" s="1">
        <f>+'[1]A Licitar'!V36</f>
        <v>44105</v>
      </c>
    </row>
    <row r="37" spans="1:22" x14ac:dyDescent="0.35">
      <c r="A37" t="str">
        <f>+'[1]A Licitar'!A37</f>
        <v>C</v>
      </c>
      <c r="B37" t="str">
        <f>+'[1]A Licitar'!B37</f>
        <v>EXPANSIÓN</v>
      </c>
      <c r="C37" t="str">
        <f>+'[1]A Licitar'!C37</f>
        <v>BID 2° Y 3° CORDÓN</v>
      </c>
      <c r="D37" t="str">
        <f>+'[1]A Licitar'!D37</f>
        <v>NORTE</v>
      </c>
      <c r="E37" t="str">
        <f>+'[1]A Licitar'!E37</f>
        <v>SAN MIGUEL</v>
      </c>
      <c r="F37" t="str">
        <f>+'[1]A Licitar'!F37</f>
        <v>RED SECUNDARIA</v>
      </c>
      <c r="G37">
        <f>+'[1]A Licitar'!G37</f>
        <v>10569</v>
      </c>
      <c r="H37" t="str">
        <f>+'[1]A Licitar'!H37</f>
        <v>NC70176</v>
      </c>
      <c r="I37" t="str">
        <f>+'[1]A Licitar'!I37</f>
        <v>RED SECUNDARIA CLOACAL SANTA MARIA 3 - CUENCA 1</v>
      </c>
      <c r="J37" t="str">
        <f>+'[1]A Licitar'!J37</f>
        <v>5-EN PROYECTO</v>
      </c>
      <c r="K37" t="str">
        <f>+'[1]A Licitar'!K37</f>
        <v>REALIZADO EN DPT/DIP</v>
      </c>
      <c r="L37" t="str">
        <f>+'[1]A Licitar'!L37</f>
        <v>Pliego 2022</v>
      </c>
      <c r="M37" s="1">
        <f>+'[1]A Licitar'!M37</f>
        <v>44650</v>
      </c>
      <c r="N37" t="str">
        <f>+'[1]A Licitar'!N37</f>
        <v>DIP</v>
      </c>
      <c r="O37" s="1">
        <f>+'[1]A Licitar'!O37</f>
        <v>44681</v>
      </c>
      <c r="P37" s="1">
        <f>+'[1]A Licitar'!P37</f>
        <v>44726</v>
      </c>
      <c r="Q37" s="1">
        <f>+'[1]A Licitar'!Q37</f>
        <v>44816</v>
      </c>
      <c r="R37" s="1">
        <f>+'[1]A Licitar'!R37</f>
        <v>44861</v>
      </c>
      <c r="S37">
        <f>+'[1]A Licitar'!S37</f>
        <v>510</v>
      </c>
      <c r="T37" s="1">
        <f>+'[1]A Licitar'!T37</f>
        <v>45431</v>
      </c>
      <c r="U37">
        <f>+'[1]A Licitar'!U37</f>
        <v>328666997.90856123</v>
      </c>
      <c r="V37" s="1">
        <f>+'[1]A Licitar'!V37</f>
        <v>44197</v>
      </c>
    </row>
    <row r="38" spans="1:22" x14ac:dyDescent="0.35">
      <c r="A38" t="str">
        <f>+'[1]A Licitar'!A38</f>
        <v>C</v>
      </c>
      <c r="B38" t="str">
        <f>+'[1]A Licitar'!B38</f>
        <v>EXPANSIÓN</v>
      </c>
      <c r="C38" t="str">
        <f>+'[1]A Licitar'!C38</f>
        <v>BID 2° Y 3° CORDÓN</v>
      </c>
      <c r="D38" t="str">
        <f>+'[1]A Licitar'!D38</f>
        <v>NORTE</v>
      </c>
      <c r="E38" t="str">
        <f>+'[1]A Licitar'!E38</f>
        <v>SAN MIGUEL</v>
      </c>
      <c r="F38" t="str">
        <f>+'[1]A Licitar'!F38</f>
        <v>RED SECUNDARIA</v>
      </c>
      <c r="G38">
        <f>+'[1]A Licitar'!G38</f>
        <v>10654</v>
      </c>
      <c r="H38" t="str">
        <f>+'[1]A Licitar'!H38</f>
        <v>NC70181</v>
      </c>
      <c r="I38" t="str">
        <f>+'[1]A Licitar'!I38</f>
        <v>RED SECUNDARIA CLOACAL BELLA VISTA 1 - CUENCA 1</v>
      </c>
      <c r="J38" t="str">
        <f>+'[1]A Licitar'!J38</f>
        <v>5-EN PROYECTO</v>
      </c>
      <c r="K38" t="str">
        <f>+'[1]A Licitar'!K38</f>
        <v>REALIZADO EN DPT/DIP</v>
      </c>
      <c r="L38" t="str">
        <f>+'[1]A Licitar'!L38</f>
        <v>Pliego 2022</v>
      </c>
      <c r="M38" s="1">
        <f>+'[1]A Licitar'!M38</f>
        <v>44650</v>
      </c>
      <c r="N38" t="str">
        <f>+'[1]A Licitar'!N38</f>
        <v>DIP</v>
      </c>
      <c r="O38" s="1">
        <f>+'[1]A Licitar'!O38</f>
        <v>44681</v>
      </c>
      <c r="P38" s="1">
        <f>+'[1]A Licitar'!P38</f>
        <v>44726</v>
      </c>
      <c r="Q38" s="1">
        <f>+'[1]A Licitar'!Q38</f>
        <v>44816</v>
      </c>
      <c r="R38" s="1">
        <f>+'[1]A Licitar'!R38</f>
        <v>44861</v>
      </c>
      <c r="S38">
        <f>+'[1]A Licitar'!S38</f>
        <v>450</v>
      </c>
      <c r="T38" s="1">
        <f>+'[1]A Licitar'!T38</f>
        <v>45371</v>
      </c>
      <c r="U38">
        <f>+'[1]A Licitar'!U38</f>
        <v>291157635.51238668</v>
      </c>
      <c r="V38" s="1">
        <f>+'[1]A Licitar'!V38</f>
        <v>44197</v>
      </c>
    </row>
    <row r="39" spans="1:22" x14ac:dyDescent="0.35">
      <c r="A39" t="str">
        <f>+'[1]A Licitar'!A39</f>
        <v>A</v>
      </c>
      <c r="B39" t="str">
        <f>+'[1]A Licitar'!B39</f>
        <v>EXPANSIÓN</v>
      </c>
      <c r="C39" t="str">
        <f>+'[1]A Licitar'!C39</f>
        <v>AYSA</v>
      </c>
      <c r="D39" t="str">
        <f>+'[1]A Licitar'!D39</f>
        <v>NORTE</v>
      </c>
      <c r="E39" t="str">
        <f>+'[1]A Licitar'!E39</f>
        <v>MALVINAS ARGENTINAS</v>
      </c>
      <c r="F39" t="str">
        <f>+'[1]A Licitar'!F39</f>
        <v>RED SECUNDARIA</v>
      </c>
      <c r="G39">
        <f>+'[1]A Licitar'!G39</f>
        <v>18738</v>
      </c>
      <c r="H39" t="str">
        <f>+'[1]A Licitar'!H39</f>
        <v>S/P3</v>
      </c>
      <c r="I39" t="str">
        <f>+'[1]A Licitar'!I39</f>
        <v>RED SECUNDARIA DE AGUA GRAND BOURG III</v>
      </c>
      <c r="J39" t="str">
        <f>+'[1]A Licitar'!J39</f>
        <v>5-EN PROYECTO</v>
      </c>
      <c r="K39" t="str">
        <f>+'[1]A Licitar'!K39</f>
        <v>DB EN ELABORACIÓN</v>
      </c>
      <c r="L39" t="str">
        <f>+'[1]A Licitar'!L39</f>
        <v>Pliego 2022</v>
      </c>
      <c r="M39" s="1">
        <f>+'[1]A Licitar'!M39</f>
        <v>44681</v>
      </c>
      <c r="N39" t="str">
        <f>+'[1]A Licitar'!N39</f>
        <v>DIP</v>
      </c>
      <c r="O39" s="1">
        <f>+'[1]A Licitar'!O39</f>
        <v>44711</v>
      </c>
      <c r="P39" s="1">
        <f>+'[1]A Licitar'!P39</f>
        <v>44756</v>
      </c>
      <c r="Q39" s="1">
        <f>+'[1]A Licitar'!Q39</f>
        <v>44846</v>
      </c>
      <c r="R39" s="1">
        <f>+'[1]A Licitar'!R39</f>
        <v>44891</v>
      </c>
      <c r="S39">
        <f>+'[1]A Licitar'!S39</f>
        <v>450</v>
      </c>
      <c r="T39" s="1">
        <f>+'[1]A Licitar'!T39</f>
        <v>45401</v>
      </c>
      <c r="U39">
        <f>+'[1]A Licitar'!U39</f>
        <v>115326486.79335165</v>
      </c>
      <c r="V39" s="1">
        <f>+'[1]A Licitar'!V39</f>
        <v>43374</v>
      </c>
    </row>
    <row r="40" spans="1:22" x14ac:dyDescent="0.35">
      <c r="A40" t="str">
        <f>+'[1]A Licitar'!A40</f>
        <v>C</v>
      </c>
      <c r="B40" t="str">
        <f>+'[1]A Licitar'!B40</f>
        <v>EXPANSIÓN</v>
      </c>
      <c r="C40" t="str">
        <f>+'[1]A Licitar'!C40</f>
        <v>AYSA (reembolso BIRF)</v>
      </c>
      <c r="D40" t="str">
        <f>+'[1]A Licitar'!D40</f>
        <v>SUDOESTE</v>
      </c>
      <c r="E40" t="str">
        <f>+'[1]A Licitar'!E40</f>
        <v>EZEIZA</v>
      </c>
      <c r="F40" t="str">
        <f>+'[1]A Licitar'!F40</f>
        <v>RED SECUNDARIA</v>
      </c>
      <c r="G40">
        <f>+'[1]A Licitar'!G40</f>
        <v>2503</v>
      </c>
      <c r="H40" t="str">
        <f>+'[1]A Licitar'!H40</f>
        <v>SC70227</v>
      </c>
      <c r="I40" t="str">
        <f>+'[1]A Licitar'!I40</f>
        <v>RED SECUNDARIA CLOACAL EZEIZA SUR 3</v>
      </c>
      <c r="J40" t="str">
        <f>+'[1]A Licitar'!J40</f>
        <v>5-EN PROYECTO</v>
      </c>
      <c r="K40" t="str">
        <f>+'[1]A Licitar'!K40</f>
        <v>REALIZADO EN DPT/DIP</v>
      </c>
      <c r="L40" t="str">
        <f>+'[1]A Licitar'!L40</f>
        <v>Pliego 2022</v>
      </c>
      <c r="M40" s="1">
        <f>+'[1]A Licitar'!M40</f>
        <v>44681</v>
      </c>
      <c r="N40" t="str">
        <f>+'[1]A Licitar'!N40</f>
        <v>DIP</v>
      </c>
      <c r="O40" s="1">
        <f>+'[1]A Licitar'!O40</f>
        <v>44711</v>
      </c>
      <c r="P40" s="1">
        <f>+'[1]A Licitar'!P40</f>
        <v>44756</v>
      </c>
      <c r="Q40" s="1">
        <f>+'[1]A Licitar'!Q40</f>
        <v>44846</v>
      </c>
      <c r="R40" s="1">
        <f>+'[1]A Licitar'!R40</f>
        <v>44891</v>
      </c>
      <c r="S40">
        <f>+'[1]A Licitar'!S40</f>
        <v>390</v>
      </c>
      <c r="T40" s="1">
        <f>+'[1]A Licitar'!T40</f>
        <v>45341</v>
      </c>
      <c r="U40">
        <f>+'[1]A Licitar'!U40</f>
        <v>215994732.87567508</v>
      </c>
      <c r="V40" s="1">
        <f>+'[1]A Licitar'!V40</f>
        <v>44197</v>
      </c>
    </row>
    <row r="41" spans="1:22" x14ac:dyDescent="0.35">
      <c r="A41" t="str">
        <f>+'[1]A Licitar'!A41</f>
        <v>C</v>
      </c>
      <c r="B41" t="str">
        <f>+'[1]A Licitar'!B41</f>
        <v>EXPANSIÓN</v>
      </c>
      <c r="C41" t="str">
        <f>+'[1]A Licitar'!C41</f>
        <v>BID 2° Y 3° CORDÓN</v>
      </c>
      <c r="D41" t="str">
        <f>+'[1]A Licitar'!D41</f>
        <v>NORTE</v>
      </c>
      <c r="E41" t="str">
        <f>+'[1]A Licitar'!E41</f>
        <v>SAN MIGUEL</v>
      </c>
      <c r="F41" t="str">
        <f>+'[1]A Licitar'!F41</f>
        <v>RED SECUNDARIA</v>
      </c>
      <c r="G41">
        <f>+'[1]A Licitar'!G41</f>
        <v>5514</v>
      </c>
      <c r="H41" t="str">
        <f>+'[1]A Licitar'!H41</f>
        <v>NC70177</v>
      </c>
      <c r="I41" t="str">
        <f>+'[1]A Licitar'!I41</f>
        <v>RED SECUNDARIA CLOACAL SANTA MARIA 3 - CUENCA 2</v>
      </c>
      <c r="J41" t="str">
        <f>+'[1]A Licitar'!J41</f>
        <v>5-EN PROYECTO</v>
      </c>
      <c r="K41" t="str">
        <f>+'[1]A Licitar'!K41</f>
        <v>REALIZADO EN DPT/DIP</v>
      </c>
      <c r="L41" t="str">
        <f>+'[1]A Licitar'!L41</f>
        <v>Pliego 2022</v>
      </c>
      <c r="M41" s="1">
        <f>+'[1]A Licitar'!M41</f>
        <v>44681</v>
      </c>
      <c r="N41" t="str">
        <f>+'[1]A Licitar'!N41</f>
        <v>DIP</v>
      </c>
      <c r="O41" s="1">
        <f>+'[1]A Licitar'!O41</f>
        <v>44711</v>
      </c>
      <c r="P41" s="1">
        <f>+'[1]A Licitar'!P41</f>
        <v>44756</v>
      </c>
      <c r="Q41" s="1">
        <f>+'[1]A Licitar'!Q41</f>
        <v>44846</v>
      </c>
      <c r="R41" s="1">
        <f>+'[1]A Licitar'!R41</f>
        <v>44891</v>
      </c>
      <c r="S41">
        <f>+'[1]A Licitar'!S41</f>
        <v>300</v>
      </c>
      <c r="T41" s="1">
        <f>+'[1]A Licitar'!T41</f>
        <v>45251</v>
      </c>
      <c r="U41">
        <f>+'[1]A Licitar'!U41</f>
        <v>232288733.52435803</v>
      </c>
      <c r="V41" s="1">
        <f>+'[1]A Licitar'!V41</f>
        <v>44197</v>
      </c>
    </row>
    <row r="42" spans="1:22" x14ac:dyDescent="0.35">
      <c r="A42" t="str">
        <f>+'[1]A Licitar'!A42</f>
        <v>C</v>
      </c>
      <c r="B42" t="str">
        <f>+'[1]A Licitar'!B42</f>
        <v>EXPANSIÓN</v>
      </c>
      <c r="C42" t="str">
        <f>+'[1]A Licitar'!C42</f>
        <v>AYSA</v>
      </c>
      <c r="D42" t="str">
        <f>+'[1]A Licitar'!D42</f>
        <v>SUDOESTE</v>
      </c>
      <c r="E42" t="str">
        <f>+'[1]A Licitar'!E42</f>
        <v>PRESIDENTE PERÓN</v>
      </c>
      <c r="F42" t="str">
        <f>+'[1]A Licitar'!F42</f>
        <v>RED SECUNDARIA</v>
      </c>
      <c r="G42">
        <f>+'[1]A Licitar'!G42</f>
        <v>4983</v>
      </c>
      <c r="H42" t="str">
        <f>+'[1]A Licitar'!H42</f>
        <v>SC70324</v>
      </c>
      <c r="I42" t="str">
        <f>+'[1]A Licitar'!I42</f>
        <v>RED SECUNDARIA CLOACAL NUMANCIA 1A</v>
      </c>
      <c r="J42" t="str">
        <f>+'[1]A Licitar'!J42</f>
        <v>5-EN PROYECTO</v>
      </c>
      <c r="K42" t="str">
        <f>+'[1]A Licitar'!K42</f>
        <v>PROY EN ELABORACIÓN</v>
      </c>
      <c r="L42" t="str">
        <f>+'[1]A Licitar'!L42</f>
        <v>Pliego 2022</v>
      </c>
      <c r="M42" s="1">
        <f>+'[1]A Licitar'!M42</f>
        <v>44711</v>
      </c>
      <c r="N42" t="str">
        <f>+'[1]A Licitar'!N42</f>
        <v>DIP</v>
      </c>
      <c r="O42" s="1">
        <f>+'[1]A Licitar'!O42</f>
        <v>44742</v>
      </c>
      <c r="P42" s="1">
        <f>+'[1]A Licitar'!P42</f>
        <v>44787</v>
      </c>
      <c r="Q42" s="1">
        <f>+'[1]A Licitar'!Q42</f>
        <v>44877</v>
      </c>
      <c r="R42" s="1">
        <f>+'[1]A Licitar'!R42</f>
        <v>44922</v>
      </c>
      <c r="S42">
        <f>+'[1]A Licitar'!S42</f>
        <v>600</v>
      </c>
      <c r="T42" s="1">
        <f>+'[1]A Licitar'!T42</f>
        <v>45582</v>
      </c>
      <c r="U42">
        <f>+'[1]A Licitar'!U42</f>
        <v>117720591.993774</v>
      </c>
      <c r="V42" s="1">
        <f>+'[1]A Licitar'!V42</f>
        <v>43374</v>
      </c>
    </row>
    <row r="43" spans="1:22" x14ac:dyDescent="0.35">
      <c r="A43" t="str">
        <f>+'[1]A Licitar'!A43</f>
        <v>C</v>
      </c>
      <c r="B43" t="str">
        <f>+'[1]A Licitar'!B43</f>
        <v>EXPANSIÓN</v>
      </c>
      <c r="C43" t="str">
        <f>+'[1]A Licitar'!C43</f>
        <v>AYSA</v>
      </c>
      <c r="D43" t="str">
        <f>+'[1]A Licitar'!D43</f>
        <v>OESTE</v>
      </c>
      <c r="E43" t="str">
        <f>+'[1]A Licitar'!E43</f>
        <v>ITUZAINGÓ</v>
      </c>
      <c r="F43" t="str">
        <f>+'[1]A Licitar'!F43</f>
        <v>RED SECUNDARIA</v>
      </c>
      <c r="G43">
        <f>+'[1]A Licitar'!G43</f>
        <v>10129</v>
      </c>
      <c r="H43" t="str">
        <f>+'[1]A Licitar'!H43</f>
        <v>OC70228</v>
      </c>
      <c r="I43" t="str">
        <f>+'[1]A Licitar'!I43</f>
        <v>RED SECUNDARIA CLOACAL COLECTOR MARTÍN RODRÍGUEZ ETAPA 2 - CUENCA III</v>
      </c>
      <c r="J43" t="str">
        <f>+'[1]A Licitar'!J43</f>
        <v>5-EN PROYECTO</v>
      </c>
      <c r="K43" t="str">
        <f>+'[1]A Licitar'!K43</f>
        <v>REALIZADO EN DPT/DIP</v>
      </c>
      <c r="L43" t="str">
        <f>+'[1]A Licitar'!L43</f>
        <v>Pliego 2022</v>
      </c>
      <c r="M43" s="1">
        <f>+'[1]A Licitar'!M43</f>
        <v>44711</v>
      </c>
      <c r="N43" t="str">
        <f>+'[1]A Licitar'!N43</f>
        <v>DIP</v>
      </c>
      <c r="O43" s="1">
        <f>+'[1]A Licitar'!O43</f>
        <v>44742</v>
      </c>
      <c r="P43" s="1">
        <f>+'[1]A Licitar'!P43</f>
        <v>44787</v>
      </c>
      <c r="Q43" s="1">
        <f>+'[1]A Licitar'!Q43</f>
        <v>44877</v>
      </c>
      <c r="R43" s="1">
        <f>+'[1]A Licitar'!R43</f>
        <v>44922</v>
      </c>
      <c r="S43">
        <f>+'[1]A Licitar'!S43</f>
        <v>430</v>
      </c>
      <c r="T43" s="1">
        <f>+'[1]A Licitar'!T43</f>
        <v>45412</v>
      </c>
      <c r="U43">
        <f>+'[1]A Licitar'!U43</f>
        <v>511466414.32169986</v>
      </c>
      <c r="V43" s="1">
        <f>+'[1]A Licitar'!V43</f>
        <v>44197</v>
      </c>
    </row>
    <row r="44" spans="1:22" x14ac:dyDescent="0.35">
      <c r="A44" t="str">
        <f>+'[1]A Licitar'!A44</f>
        <v>C</v>
      </c>
      <c r="B44" t="str">
        <f>+'[1]A Licitar'!B44</f>
        <v>EXPANSIÓN</v>
      </c>
      <c r="C44" t="str">
        <f>+'[1]A Licitar'!C44</f>
        <v>BID 2° Y 3° CORDÓN</v>
      </c>
      <c r="D44" t="str">
        <f>+'[1]A Licitar'!D44</f>
        <v>NORTE</v>
      </c>
      <c r="E44" t="str">
        <f>+'[1]A Licitar'!E44</f>
        <v>SAN MIGUEL</v>
      </c>
      <c r="F44" t="str">
        <f>+'[1]A Licitar'!F44</f>
        <v>RED SECUNDARIA</v>
      </c>
      <c r="G44">
        <f>+'[1]A Licitar'!G44</f>
        <v>7582</v>
      </c>
      <c r="H44" t="str">
        <f>+'[1]A Licitar'!H44</f>
        <v>NC70178</v>
      </c>
      <c r="I44" t="str">
        <f>+'[1]A Licitar'!I44</f>
        <v>RED SECUNDARIA CLOACAL SANTA MARIA 3 - CUENCA 3</v>
      </c>
      <c r="J44" t="str">
        <f>+'[1]A Licitar'!J44</f>
        <v>5-EN PROYECTO</v>
      </c>
      <c r="K44" t="str">
        <f>+'[1]A Licitar'!K44</f>
        <v>REALIZADO EN DPT/DIP</v>
      </c>
      <c r="L44" t="str">
        <f>+'[1]A Licitar'!L44</f>
        <v>Pliego 2022</v>
      </c>
      <c r="M44" s="1">
        <f>+'[1]A Licitar'!M44</f>
        <v>44711</v>
      </c>
      <c r="N44" t="str">
        <f>+'[1]A Licitar'!N44</f>
        <v>DIP</v>
      </c>
      <c r="O44" s="1">
        <f>+'[1]A Licitar'!O44</f>
        <v>44742</v>
      </c>
      <c r="P44" s="1">
        <f>+'[1]A Licitar'!P44</f>
        <v>44787</v>
      </c>
      <c r="Q44" s="1">
        <f>+'[1]A Licitar'!Q44</f>
        <v>44877</v>
      </c>
      <c r="R44" s="1">
        <f>+'[1]A Licitar'!R44</f>
        <v>44922</v>
      </c>
      <c r="S44">
        <f>+'[1]A Licitar'!S44</f>
        <v>360</v>
      </c>
      <c r="T44" s="1">
        <f>+'[1]A Licitar'!T44</f>
        <v>45342</v>
      </c>
      <c r="U44">
        <f>+'[1]A Licitar'!U44</f>
        <v>304549123.94858116</v>
      </c>
      <c r="V44" s="1">
        <f>+'[1]A Licitar'!V44</f>
        <v>44197</v>
      </c>
    </row>
    <row r="45" spans="1:22" x14ac:dyDescent="0.35">
      <c r="A45" t="str">
        <f>+'[1]A Licitar'!A45</f>
        <v>C</v>
      </c>
      <c r="B45" t="str">
        <f>+'[1]A Licitar'!B45</f>
        <v>EXPANSIÓN</v>
      </c>
      <c r="C45" t="str">
        <f>+'[1]A Licitar'!C45</f>
        <v>BID 2° Y 3° CORDÓN</v>
      </c>
      <c r="D45" t="str">
        <f>+'[1]A Licitar'!D45</f>
        <v>NORTE</v>
      </c>
      <c r="E45" t="str">
        <f>+'[1]A Licitar'!E45</f>
        <v>SAN MIGUEL</v>
      </c>
      <c r="F45" t="str">
        <f>+'[1]A Licitar'!F45</f>
        <v>RED SECUNDARIA</v>
      </c>
      <c r="G45">
        <f>+'[1]A Licitar'!G45</f>
        <v>6204</v>
      </c>
      <c r="H45" t="str">
        <f>+'[1]A Licitar'!H45</f>
        <v>NC70179</v>
      </c>
      <c r="I45" t="str">
        <f>+'[1]A Licitar'!I45</f>
        <v>RED SECUNDARIA CLOACAL SANTA MARIA 3 - CUENCA 4</v>
      </c>
      <c r="J45" t="str">
        <f>+'[1]A Licitar'!J45</f>
        <v>5-EN PROYECTO</v>
      </c>
      <c r="K45" t="str">
        <f>+'[1]A Licitar'!K45</f>
        <v>REALIZADO EN DPT/DIP</v>
      </c>
      <c r="L45" t="str">
        <f>+'[1]A Licitar'!L45</f>
        <v>Pliego 2022</v>
      </c>
      <c r="M45" s="1">
        <f>+'[1]A Licitar'!M45</f>
        <v>44711</v>
      </c>
      <c r="N45" t="str">
        <f>+'[1]A Licitar'!N45</f>
        <v>DIP</v>
      </c>
      <c r="O45" s="1">
        <f>+'[1]A Licitar'!O45</f>
        <v>44742</v>
      </c>
      <c r="P45" s="1">
        <f>+'[1]A Licitar'!P45</f>
        <v>44787</v>
      </c>
      <c r="Q45" s="1">
        <f>+'[1]A Licitar'!Q45</f>
        <v>44877</v>
      </c>
      <c r="R45" s="1">
        <f>+'[1]A Licitar'!R45</f>
        <v>44922</v>
      </c>
      <c r="S45">
        <f>+'[1]A Licitar'!S45</f>
        <v>360</v>
      </c>
      <c r="T45" s="1">
        <f>+'[1]A Licitar'!T45</f>
        <v>45342</v>
      </c>
      <c r="U45">
        <f>+'[1]A Licitar'!U45</f>
        <v>226808207.21972305</v>
      </c>
      <c r="V45" s="1">
        <f>+'[1]A Licitar'!V45</f>
        <v>44197</v>
      </c>
    </row>
    <row r="46" spans="1:22" x14ac:dyDescent="0.35">
      <c r="A46" t="str">
        <f>+'[1]A Licitar'!A46</f>
        <v>A</v>
      </c>
      <c r="B46" t="str">
        <f>+'[1]A Licitar'!B46</f>
        <v>EXPANSIÓN</v>
      </c>
      <c r="C46" t="str">
        <f>+'[1]A Licitar'!C46</f>
        <v>AYSA</v>
      </c>
      <c r="D46" t="str">
        <f>+'[1]A Licitar'!D46</f>
        <v>OESTE</v>
      </c>
      <c r="E46" t="str">
        <f>+'[1]A Licitar'!E46</f>
        <v>HURLINGHAM</v>
      </c>
      <c r="F46" t="str">
        <f>+'[1]A Licitar'!F46</f>
        <v>RED SECUNDARIA</v>
      </c>
      <c r="G46">
        <f>+'[1]A Licitar'!G46</f>
        <v>4480</v>
      </c>
      <c r="H46" t="str">
        <f>+'[1]A Licitar'!H46</f>
        <v>OA70167</v>
      </c>
      <c r="I46" t="str">
        <f>+'[1]A Licitar'!I46</f>
        <v>RED SECUNDARIA DE AGUA HURLINGHAM 1 ETAPA 1 (COMISARIA N°1 DE HURLINGHAM)</v>
      </c>
      <c r="J46" t="str">
        <f>+'[1]A Licitar'!J46</f>
        <v>5-EN PROYECTO</v>
      </c>
      <c r="K46" t="str">
        <f>+'[1]A Licitar'!K46</f>
        <v>REALIZADO EN DPT/DIP</v>
      </c>
      <c r="L46" t="str">
        <f>+'[1]A Licitar'!L46</f>
        <v>Pliego 2022</v>
      </c>
      <c r="M46" s="1">
        <f>+'[1]A Licitar'!M46</f>
        <v>44742</v>
      </c>
      <c r="N46" t="str">
        <f>+'[1]A Licitar'!N46</f>
        <v>DIP</v>
      </c>
      <c r="O46" s="1">
        <f>+'[1]A Licitar'!O46</f>
        <v>44772</v>
      </c>
      <c r="P46" s="1">
        <f>+'[1]A Licitar'!P46</f>
        <v>44817</v>
      </c>
      <c r="Q46" s="1">
        <f>+'[1]A Licitar'!Q46</f>
        <v>44907</v>
      </c>
      <c r="R46" s="1">
        <f>+'[1]A Licitar'!R46</f>
        <v>44952</v>
      </c>
      <c r="S46">
        <f>+'[1]A Licitar'!S46</f>
        <v>450</v>
      </c>
      <c r="T46" s="1">
        <f>+'[1]A Licitar'!T46</f>
        <v>45462</v>
      </c>
      <c r="U46">
        <f>+'[1]A Licitar'!U46</f>
        <v>149915302.07029384</v>
      </c>
      <c r="V46" s="1">
        <f>+'[1]A Licitar'!V46</f>
        <v>44197</v>
      </c>
    </row>
    <row r="47" spans="1:22" x14ac:dyDescent="0.35">
      <c r="A47" t="str">
        <f>+'[1]A Licitar'!A47</f>
        <v>A</v>
      </c>
      <c r="B47" t="str">
        <f>+'[1]A Licitar'!B47</f>
        <v>EXPANSIÓN</v>
      </c>
      <c r="C47" t="str">
        <f>+'[1]A Licitar'!C47</f>
        <v>AYSA</v>
      </c>
      <c r="D47" t="str">
        <f>+'[1]A Licitar'!D47</f>
        <v>NORTE</v>
      </c>
      <c r="E47" t="str">
        <f>+'[1]A Licitar'!E47</f>
        <v>JOSÉ C. PAZ</v>
      </c>
      <c r="F47" t="str">
        <f>+'[1]A Licitar'!F47</f>
        <v>RED SECUNDARIA</v>
      </c>
      <c r="G47">
        <f>+'[1]A Licitar'!G47</f>
        <v>5713</v>
      </c>
      <c r="H47" t="str">
        <f>+'[1]A Licitar'!H47</f>
        <v>S/P3</v>
      </c>
      <c r="I47" t="str">
        <f>+'[1]A Licitar'!I47</f>
        <v>RED SECUNDARIA DE AGUA JOSÉ C. PAZ OESTE III</v>
      </c>
      <c r="J47" t="str">
        <f>+'[1]A Licitar'!J47</f>
        <v>5-EN PROYECTO</v>
      </c>
      <c r="K47" t="str">
        <f>+'[1]A Licitar'!K47</f>
        <v>DB A ELABORAR</v>
      </c>
      <c r="L47" t="str">
        <f>+'[1]A Licitar'!L47</f>
        <v>Pliego 2022</v>
      </c>
      <c r="M47" s="1">
        <f>+'[1]A Licitar'!M47</f>
        <v>44772</v>
      </c>
      <c r="N47" t="str">
        <f>+'[1]A Licitar'!N47</f>
        <v>DIP</v>
      </c>
      <c r="O47" s="1">
        <f>+'[1]A Licitar'!O47</f>
        <v>44803</v>
      </c>
      <c r="P47" s="1">
        <f>+'[1]A Licitar'!P47</f>
        <v>44848</v>
      </c>
      <c r="Q47" s="1">
        <f>+'[1]A Licitar'!Q47</f>
        <v>44938</v>
      </c>
      <c r="R47" s="1">
        <f>+'[1]A Licitar'!R47</f>
        <v>44983</v>
      </c>
      <c r="S47">
        <f>+'[1]A Licitar'!S47</f>
        <v>300</v>
      </c>
      <c r="T47" s="1">
        <f>+'[1]A Licitar'!T47</f>
        <v>45343</v>
      </c>
      <c r="U47">
        <f>+'[1]A Licitar'!U47</f>
        <v>46250726.474417068</v>
      </c>
      <c r="V47" s="1">
        <f>+'[1]A Licitar'!V47</f>
        <v>43374</v>
      </c>
    </row>
    <row r="48" spans="1:22" x14ac:dyDescent="0.35">
      <c r="A48" t="str">
        <f>+'[1]A Licitar'!A48</f>
        <v>A</v>
      </c>
      <c r="B48" t="str">
        <f>+'[1]A Licitar'!B48</f>
        <v>EXPANSIÓN</v>
      </c>
      <c r="C48" t="str">
        <f>+'[1]A Licitar'!C48</f>
        <v>AYSA</v>
      </c>
      <c r="D48" t="str">
        <f>+'[1]A Licitar'!D48</f>
        <v>NORTE</v>
      </c>
      <c r="E48" t="str">
        <f>+'[1]A Licitar'!E48</f>
        <v>JOSÉ C. PAZ</v>
      </c>
      <c r="F48" t="str">
        <f>+'[1]A Licitar'!F48</f>
        <v>RED SECUNDARIA</v>
      </c>
      <c r="G48">
        <f>+'[1]A Licitar'!G48</f>
        <v>12482</v>
      </c>
      <c r="H48" t="str">
        <f>+'[1]A Licitar'!H48</f>
        <v>S/P3</v>
      </c>
      <c r="I48" t="str">
        <f>+'[1]A Licitar'!I48</f>
        <v>RED SECUNDARIA DE AGUA JOSÉ C. PAZ OESTE III - R</v>
      </c>
      <c r="J48" t="str">
        <f>+'[1]A Licitar'!J48</f>
        <v>5-EN PROYECTO</v>
      </c>
      <c r="K48" t="str">
        <f>+'[1]A Licitar'!K48</f>
        <v>DB A ELABORAR</v>
      </c>
      <c r="L48" t="str">
        <f>+'[1]A Licitar'!L48</f>
        <v>Pliego 2022</v>
      </c>
      <c r="M48" s="1">
        <f>+'[1]A Licitar'!M48</f>
        <v>44772</v>
      </c>
      <c r="N48" t="str">
        <f>+'[1]A Licitar'!N48</f>
        <v>DIP</v>
      </c>
      <c r="O48" s="1">
        <f>+'[1]A Licitar'!O48</f>
        <v>44803</v>
      </c>
      <c r="P48" s="1">
        <f>+'[1]A Licitar'!P48</f>
        <v>44848</v>
      </c>
      <c r="Q48" s="1">
        <f>+'[1]A Licitar'!Q48</f>
        <v>44938</v>
      </c>
      <c r="R48" s="1">
        <f>+'[1]A Licitar'!R48</f>
        <v>44983</v>
      </c>
      <c r="S48">
        <f>+'[1]A Licitar'!S48</f>
        <v>360</v>
      </c>
      <c r="T48" s="1">
        <f>+'[1]A Licitar'!T48</f>
        <v>45403</v>
      </c>
      <c r="U48">
        <f>+'[1]A Licitar'!U48</f>
        <v>75082348.172754973</v>
      </c>
      <c r="V48" s="1">
        <f>+'[1]A Licitar'!V48</f>
        <v>43374</v>
      </c>
    </row>
    <row r="49" spans="1:22" x14ac:dyDescent="0.35">
      <c r="A49" t="str">
        <f>+'[1]A Licitar'!A49</f>
        <v>A</v>
      </c>
      <c r="B49" t="str">
        <f>+'[1]A Licitar'!B49</f>
        <v>EXPANSIÓN</v>
      </c>
      <c r="C49" t="str">
        <f>+'[1]A Licitar'!C49</f>
        <v>AYSA</v>
      </c>
      <c r="D49" t="str">
        <f>+'[1]A Licitar'!D49</f>
        <v>OESTE</v>
      </c>
      <c r="E49" t="str">
        <f>+'[1]A Licitar'!E49</f>
        <v>MERLO</v>
      </c>
      <c r="F49" t="str">
        <f>+'[1]A Licitar'!F49</f>
        <v>RED SECUNDARIA</v>
      </c>
      <c r="G49">
        <f>+'[1]A Licitar'!G49</f>
        <v>7951</v>
      </c>
      <c r="H49" t="str">
        <f>+'[1]A Licitar'!H49</f>
        <v>S/P3</v>
      </c>
      <c r="I49" t="str">
        <f>+'[1]A Licitar'!I49</f>
        <v>RED SECUNDARIA DE AGUA PONTEVEDRA IV ETAPA 1</v>
      </c>
      <c r="J49" t="str">
        <f>+'[1]A Licitar'!J49</f>
        <v>5-EN PROYECTO</v>
      </c>
      <c r="K49" t="str">
        <f>+'[1]A Licitar'!K49</f>
        <v>DB EN ELABORACIÓN</v>
      </c>
      <c r="L49" t="str">
        <f>+'[1]A Licitar'!L49</f>
        <v>Pliego 2022</v>
      </c>
      <c r="M49" s="1">
        <f>+'[1]A Licitar'!M49</f>
        <v>44803</v>
      </c>
      <c r="N49" t="str">
        <f>+'[1]A Licitar'!N49</f>
        <v>DIP</v>
      </c>
      <c r="O49" s="1">
        <f>+'[1]A Licitar'!O49</f>
        <v>44834</v>
      </c>
      <c r="P49" s="1">
        <f>+'[1]A Licitar'!P49</f>
        <v>44879</v>
      </c>
      <c r="Q49" s="1">
        <f>+'[1]A Licitar'!Q49</f>
        <v>44969</v>
      </c>
      <c r="R49" s="1">
        <f>+'[1]A Licitar'!R49</f>
        <v>45014</v>
      </c>
      <c r="S49">
        <f>+'[1]A Licitar'!S49</f>
        <v>510</v>
      </c>
      <c r="T49" s="1">
        <f>+'[1]A Licitar'!T49</f>
        <v>45584</v>
      </c>
      <c r="U49">
        <f>+'[1]A Licitar'!U49</f>
        <v>165181165.98006096</v>
      </c>
      <c r="V49" s="1">
        <f>+'[1]A Licitar'!V49</f>
        <v>43374</v>
      </c>
    </row>
    <row r="50" spans="1:22" x14ac:dyDescent="0.35">
      <c r="A50" t="str">
        <f>+'[1]A Licitar'!A50</f>
        <v>C</v>
      </c>
      <c r="B50" t="str">
        <f>+'[1]A Licitar'!B50</f>
        <v>EXPANSIÓN</v>
      </c>
      <c r="C50" t="str">
        <f>+'[1]A Licitar'!C50</f>
        <v>AYSA</v>
      </c>
      <c r="D50" t="str">
        <f>+'[1]A Licitar'!D50</f>
        <v>SUDOESTE</v>
      </c>
      <c r="E50" t="str">
        <f>+'[1]A Licitar'!E50</f>
        <v>PRESIDENTE PERÓN</v>
      </c>
      <c r="F50" t="str">
        <f>+'[1]A Licitar'!F50</f>
        <v>RED SECUNDARIA</v>
      </c>
      <c r="G50">
        <f>+'[1]A Licitar'!G50</f>
        <v>2636</v>
      </c>
      <c r="H50" t="str">
        <f>+'[1]A Licitar'!H50</f>
        <v>S/P3</v>
      </c>
      <c r="I50" t="str">
        <f>+'[1]A Licitar'!I50</f>
        <v>RED SECUNDARIA CLOACAL EL ROBLE RESTO</v>
      </c>
      <c r="J50" t="str">
        <f>+'[1]A Licitar'!J50</f>
        <v>5-EN PROYECTO</v>
      </c>
      <c r="K50" t="str">
        <f>+'[1]A Licitar'!K50</f>
        <v>PROY EN ELABORACIÓN</v>
      </c>
      <c r="L50" t="str">
        <f>+'[1]A Licitar'!L50</f>
        <v>Pliego 2022</v>
      </c>
      <c r="M50" s="1">
        <f>+'[1]A Licitar'!M50</f>
        <v>44803</v>
      </c>
      <c r="N50" t="str">
        <f>+'[1]A Licitar'!N50</f>
        <v>DIP</v>
      </c>
      <c r="O50" s="1">
        <f>+'[1]A Licitar'!O50</f>
        <v>44834</v>
      </c>
      <c r="P50" s="1">
        <f>+'[1]A Licitar'!P50</f>
        <v>44879</v>
      </c>
      <c r="Q50" s="1">
        <f>+'[1]A Licitar'!Q50</f>
        <v>44969</v>
      </c>
      <c r="R50" s="1">
        <f>+'[1]A Licitar'!R50</f>
        <v>45014</v>
      </c>
      <c r="S50">
        <f>+'[1]A Licitar'!S50</f>
        <v>450</v>
      </c>
      <c r="T50" s="1">
        <f>+'[1]A Licitar'!T50</f>
        <v>45524</v>
      </c>
      <c r="U50">
        <f>+'[1]A Licitar'!U50</f>
        <v>144512174.9992536</v>
      </c>
      <c r="V50" s="1">
        <f>+'[1]A Licitar'!V50</f>
        <v>43374</v>
      </c>
    </row>
    <row r="51" spans="1:22" x14ac:dyDescent="0.35">
      <c r="A51" t="str">
        <f>+'[1]A Licitar'!A51</f>
        <v>A</v>
      </c>
      <c r="B51" t="str">
        <f>+'[1]A Licitar'!B51</f>
        <v>EXPANSIÓN</v>
      </c>
      <c r="C51" t="str">
        <f>+'[1]A Licitar'!C51</f>
        <v>AYSA</v>
      </c>
      <c r="D51" t="str">
        <f>+'[1]A Licitar'!D51</f>
        <v>SUDOESTE</v>
      </c>
      <c r="E51" t="str">
        <f>+'[1]A Licitar'!E51</f>
        <v>ESTEBAN ECHEVERRÍA</v>
      </c>
      <c r="F51" t="str">
        <f>+'[1]A Licitar'!F51</f>
        <v>RED SECUNDARIA</v>
      </c>
      <c r="G51">
        <f>+'[1]A Licitar'!G51</f>
        <v>2860</v>
      </c>
      <c r="H51" t="str">
        <f>+'[1]A Licitar'!H51</f>
        <v>SA70278</v>
      </c>
      <c r="I51" t="str">
        <f>+'[1]A Licitar'!I51</f>
        <v>RED SECUNDARIA DE AGUA SANTA ISABEL - ETAPA 2</v>
      </c>
      <c r="J51" t="str">
        <f>+'[1]A Licitar'!J51</f>
        <v>5-EN PROYECTO</v>
      </c>
      <c r="K51" t="str">
        <f>+'[1]A Licitar'!K51</f>
        <v>PROY EN ELABORACIÓN</v>
      </c>
      <c r="L51" t="str">
        <f>+'[1]A Licitar'!L51</f>
        <v>Pliego 2022</v>
      </c>
      <c r="M51" s="1">
        <f>+'[1]A Licitar'!M51</f>
        <v>44803</v>
      </c>
      <c r="N51" t="str">
        <f>+'[1]A Licitar'!N51</f>
        <v>DIP</v>
      </c>
      <c r="O51" s="1">
        <f>+'[1]A Licitar'!O51</f>
        <v>44834</v>
      </c>
      <c r="P51" s="1">
        <f>+'[1]A Licitar'!P51</f>
        <v>44879</v>
      </c>
      <c r="Q51" s="1">
        <f>+'[1]A Licitar'!Q51</f>
        <v>44969</v>
      </c>
      <c r="R51" s="1">
        <f>+'[1]A Licitar'!R51</f>
        <v>45014</v>
      </c>
      <c r="S51">
        <f>+'[1]A Licitar'!S51</f>
        <v>300</v>
      </c>
      <c r="T51" s="1">
        <f>+'[1]A Licitar'!T51</f>
        <v>45374</v>
      </c>
      <c r="U51">
        <f>+'[1]A Licitar'!U51</f>
        <v>100000000</v>
      </c>
      <c r="V51" s="1">
        <f>+'[1]A Licitar'!V51</f>
        <v>44197</v>
      </c>
    </row>
    <row r="52" spans="1:22" x14ac:dyDescent="0.35">
      <c r="A52" t="str">
        <f>+'[1]A Licitar'!A52</f>
        <v>C</v>
      </c>
      <c r="B52" t="str">
        <f>+'[1]A Licitar'!B52</f>
        <v>EXPANSIÓN</v>
      </c>
      <c r="C52" t="str">
        <f>+'[1]A Licitar'!C52</f>
        <v>AYSA</v>
      </c>
      <c r="D52" t="str">
        <f>+'[1]A Licitar'!D52</f>
        <v>SUDOESTE</v>
      </c>
      <c r="E52" t="str">
        <f>+'[1]A Licitar'!E52</f>
        <v>LOMAS DE ZAMORA</v>
      </c>
      <c r="F52" t="str">
        <f>+'[1]A Licitar'!F52</f>
        <v>RED SECUNDARIA</v>
      </c>
      <c r="G52">
        <f>+'[1]A Licitar'!G52</f>
        <v>11050</v>
      </c>
      <c r="H52" t="str">
        <f>+'[1]A Licitar'!H52</f>
        <v>SC70128</v>
      </c>
      <c r="I52" t="str">
        <f>+'[1]A Licitar'!I52</f>
        <v>RED SECUNDARIA CLOACAL ALBERTINA 3</v>
      </c>
      <c r="J52" t="str">
        <f>+'[1]A Licitar'!J52</f>
        <v>5-EN PROYECTO</v>
      </c>
      <c r="K52" t="str">
        <f>+'[1]A Licitar'!K52</f>
        <v>REALIZADO EN DPT/DIP</v>
      </c>
      <c r="L52" t="str">
        <f>+'[1]A Licitar'!L52</f>
        <v>Pliego 2022</v>
      </c>
      <c r="M52" s="1">
        <f>+'[1]A Licitar'!M52</f>
        <v>44803</v>
      </c>
      <c r="N52" t="str">
        <f>+'[1]A Licitar'!N52</f>
        <v>DIP</v>
      </c>
      <c r="O52" s="1">
        <f>+'[1]A Licitar'!O52</f>
        <v>44834</v>
      </c>
      <c r="P52" s="1">
        <f>+'[1]A Licitar'!P52</f>
        <v>44879</v>
      </c>
      <c r="Q52" s="1">
        <f>+'[1]A Licitar'!Q52</f>
        <v>44969</v>
      </c>
      <c r="R52" s="1">
        <f>+'[1]A Licitar'!R52</f>
        <v>45014</v>
      </c>
      <c r="S52">
        <f>+'[1]A Licitar'!S52</f>
        <v>510</v>
      </c>
      <c r="T52" s="1">
        <f>+'[1]A Licitar'!T52</f>
        <v>45584</v>
      </c>
      <c r="U52">
        <f>+'[1]A Licitar'!U52</f>
        <v>329522815.83000594</v>
      </c>
      <c r="V52" s="1">
        <f>+'[1]A Licitar'!V52</f>
        <v>44197</v>
      </c>
    </row>
    <row r="53" spans="1:22" x14ac:dyDescent="0.35">
      <c r="A53" t="str">
        <f>+'[1]A Licitar'!A53</f>
        <v>A</v>
      </c>
      <c r="B53" t="str">
        <f>+'[1]A Licitar'!B53</f>
        <v>EXPANSIÓN</v>
      </c>
      <c r="C53" t="str">
        <f>+'[1]A Licitar'!C53</f>
        <v>AYSA</v>
      </c>
      <c r="D53" t="str">
        <f>+'[1]A Licitar'!D53</f>
        <v>SUDOESTE</v>
      </c>
      <c r="E53" t="str">
        <f>+'[1]A Licitar'!E53</f>
        <v>EZEIZA</v>
      </c>
      <c r="F53" t="str">
        <f>+'[1]A Licitar'!F53</f>
        <v>RED SECUNDARIA</v>
      </c>
      <c r="G53">
        <f>+'[1]A Licitar'!G53</f>
        <v>0</v>
      </c>
      <c r="H53" t="str">
        <f>+'[1]A Licitar'!H53</f>
        <v>S/P3</v>
      </c>
      <c r="I53" t="str">
        <f>+'[1]A Licitar'!I53</f>
        <v>RED SECUNDARIA DE AGUA SANTA MARTA (EZEIZA 2, B y C)</v>
      </c>
      <c r="J53" t="str">
        <f>+'[1]A Licitar'!J53</f>
        <v>5-EN PROYECTO</v>
      </c>
      <c r="K53" t="str">
        <f>+'[1]A Licitar'!K53</f>
        <v>PROY A ELABORAR</v>
      </c>
      <c r="L53" t="str">
        <f>+'[1]A Licitar'!L53</f>
        <v>Pliego 2022</v>
      </c>
      <c r="M53" s="1">
        <f>+'[1]A Licitar'!M53</f>
        <v>44834</v>
      </c>
      <c r="N53" t="str">
        <f>+'[1]A Licitar'!N53</f>
        <v>DIP</v>
      </c>
      <c r="O53" s="1">
        <f>+'[1]A Licitar'!O53</f>
        <v>44864</v>
      </c>
      <c r="P53" s="1">
        <f>+'[1]A Licitar'!P53</f>
        <v>44909</v>
      </c>
      <c r="Q53" s="1">
        <f>+'[1]A Licitar'!Q53</f>
        <v>44999</v>
      </c>
      <c r="R53" s="1">
        <f>+'[1]A Licitar'!R53</f>
        <v>45044</v>
      </c>
      <c r="S53">
        <f>+'[1]A Licitar'!S53</f>
        <v>720</v>
      </c>
      <c r="T53" s="1">
        <f>+'[1]A Licitar'!T53</f>
        <v>45824</v>
      </c>
      <c r="U53">
        <f>+'[1]A Licitar'!U53</f>
        <v>212052500</v>
      </c>
      <c r="V53" s="1">
        <f>+'[1]A Licitar'!V53</f>
        <v>43374</v>
      </c>
    </row>
    <row r="54" spans="1:22" x14ac:dyDescent="0.35">
      <c r="A54" t="str">
        <f>+'[1]A Licitar'!A54</f>
        <v>C</v>
      </c>
      <c r="B54" t="str">
        <f>+'[1]A Licitar'!B54</f>
        <v>EXPANSIÓN</v>
      </c>
      <c r="C54" t="str">
        <f>+'[1]A Licitar'!C54</f>
        <v>AYSA</v>
      </c>
      <c r="D54" t="str">
        <f>+'[1]A Licitar'!D54</f>
        <v>SUDOESTE</v>
      </c>
      <c r="E54" t="str">
        <f>+'[1]A Licitar'!E54</f>
        <v>ALMIRANTE BROWN</v>
      </c>
      <c r="F54" t="str">
        <f>+'[1]A Licitar'!F54</f>
        <v>RED SECUNDARIA</v>
      </c>
      <c r="G54">
        <f>+'[1]A Licitar'!G54</f>
        <v>9790</v>
      </c>
      <c r="H54" t="str">
        <f>+'[1]A Licitar'!H54</f>
        <v>SC70174</v>
      </c>
      <c r="I54" t="str">
        <f>+'[1]A Licitar'!I54</f>
        <v>RED SECUNDARIA CLOACAL DON ORIONE</v>
      </c>
      <c r="J54" t="str">
        <f>+'[1]A Licitar'!J54</f>
        <v>5-EN PROYECTO</v>
      </c>
      <c r="K54" t="str">
        <f>+'[1]A Licitar'!K54</f>
        <v>PROY A ELABORAR</v>
      </c>
      <c r="L54" t="str">
        <f>+'[1]A Licitar'!L54</f>
        <v>Pliego 2022</v>
      </c>
      <c r="M54" s="1">
        <f>+'[1]A Licitar'!M54</f>
        <v>44834</v>
      </c>
      <c r="N54" t="str">
        <f>+'[1]A Licitar'!N54</f>
        <v>DIP</v>
      </c>
      <c r="O54" s="1">
        <f>+'[1]A Licitar'!O54</f>
        <v>44864</v>
      </c>
      <c r="P54" s="1">
        <f>+'[1]A Licitar'!P54</f>
        <v>44909</v>
      </c>
      <c r="Q54" s="1">
        <f>+'[1]A Licitar'!Q54</f>
        <v>44999</v>
      </c>
      <c r="R54" s="1">
        <f>+'[1]A Licitar'!R54</f>
        <v>45044</v>
      </c>
      <c r="S54">
        <f>+'[1]A Licitar'!S54</f>
        <v>540</v>
      </c>
      <c r="T54" s="1">
        <f>+'[1]A Licitar'!T54</f>
        <v>45644</v>
      </c>
      <c r="U54">
        <f>+'[1]A Licitar'!U54</f>
        <v>162140000</v>
      </c>
      <c r="V54" s="1">
        <f>+'[1]A Licitar'!V54</f>
        <v>43374</v>
      </c>
    </row>
    <row r="55" spans="1:22" x14ac:dyDescent="0.35">
      <c r="A55" t="str">
        <f>+'[1]A Licitar'!A55</f>
        <v>C</v>
      </c>
      <c r="B55" t="str">
        <f>+'[1]A Licitar'!B55</f>
        <v>EXPANSIÓN</v>
      </c>
      <c r="C55" t="str">
        <f>+'[1]A Licitar'!C55</f>
        <v>AYSA</v>
      </c>
      <c r="D55" t="str">
        <f>+'[1]A Licitar'!D55</f>
        <v>OESTE</v>
      </c>
      <c r="E55" t="str">
        <f>+'[1]A Licitar'!E55</f>
        <v>LA MATANZA</v>
      </c>
      <c r="F55" t="str">
        <f>+'[1]A Licitar'!F55</f>
        <v>RED SECUNDARIA</v>
      </c>
      <c r="G55">
        <f>+'[1]A Licitar'!G55</f>
        <v>8260</v>
      </c>
      <c r="H55" t="str">
        <f>+'[1]A Licitar'!H55</f>
        <v>OC414</v>
      </c>
      <c r="I55" t="str">
        <f>+'[1]A Licitar'!I55</f>
        <v>RED SECUNDARIA CLOACAL - SUBCUENCA LMO-GC-01 - BARRIO SAN JOSÉ / LA JUSTINA</v>
      </c>
      <c r="J55" t="str">
        <f>+'[1]A Licitar'!J55</f>
        <v>5-EN PROYECTO</v>
      </c>
      <c r="K55" t="str">
        <f>+'[1]A Licitar'!K55</f>
        <v>REALIZADO EN DPT/DIP</v>
      </c>
      <c r="L55" t="str">
        <f>+'[1]A Licitar'!L55</f>
        <v>Pliego 2022</v>
      </c>
      <c r="M55" s="1">
        <f>+'[1]A Licitar'!M55</f>
        <v>44834</v>
      </c>
      <c r="N55" t="str">
        <f>+'[1]A Licitar'!N55</f>
        <v>DIP</v>
      </c>
      <c r="O55" s="1">
        <f>+'[1]A Licitar'!O55</f>
        <v>44864</v>
      </c>
      <c r="P55" s="1">
        <f>+'[1]A Licitar'!P55</f>
        <v>44909</v>
      </c>
      <c r="Q55" s="1">
        <f>+'[1]A Licitar'!Q55</f>
        <v>44999</v>
      </c>
      <c r="R55" s="1">
        <f>+'[1]A Licitar'!R55</f>
        <v>45044</v>
      </c>
      <c r="S55">
        <f>+'[1]A Licitar'!S55</f>
        <v>450</v>
      </c>
      <c r="T55" s="1">
        <f>+'[1]A Licitar'!T55</f>
        <v>45554</v>
      </c>
      <c r="U55">
        <f>+'[1]A Licitar'!U55</f>
        <v>130619659.72000001</v>
      </c>
      <c r="V55" s="1">
        <f>+'[1]A Licitar'!V55</f>
        <v>43374</v>
      </c>
    </row>
    <row r="56" spans="1:22" x14ac:dyDescent="0.35">
      <c r="A56" t="str">
        <f>+'[1]A Licitar'!A56</f>
        <v>C</v>
      </c>
      <c r="B56" t="str">
        <f>+'[1]A Licitar'!B56</f>
        <v>EXPANSIÓN</v>
      </c>
      <c r="C56" t="str">
        <f>+'[1]A Licitar'!C56</f>
        <v>AYSA</v>
      </c>
      <c r="D56" t="str">
        <f>+'[1]A Licitar'!D56</f>
        <v>OESTE</v>
      </c>
      <c r="E56" t="str">
        <f>+'[1]A Licitar'!E56</f>
        <v>LA MATANZA</v>
      </c>
      <c r="F56" t="str">
        <f>+'[1]A Licitar'!F56</f>
        <v>RED SECUNDARIA</v>
      </c>
      <c r="G56">
        <f>+'[1]A Licitar'!G56</f>
        <v>3909</v>
      </c>
      <c r="H56" t="str">
        <f>+'[1]A Licitar'!H56</f>
        <v>OC415</v>
      </c>
      <c r="I56" t="str">
        <f>+'[1]A Licitar'!I56</f>
        <v>RED SECUNDARIA CLOACAL - SUBCUENCA LMO-GC-02 - BARRIO LOS CEIBOS I</v>
      </c>
      <c r="J56" t="str">
        <f>+'[1]A Licitar'!J56</f>
        <v>5-EN PROYECTO</v>
      </c>
      <c r="K56" t="str">
        <f>+'[1]A Licitar'!K56</f>
        <v>REALIZADO EN DPT/DIP</v>
      </c>
      <c r="L56" t="str">
        <f>+'[1]A Licitar'!L56</f>
        <v>Pliego 2022</v>
      </c>
      <c r="M56" s="1">
        <f>+'[1]A Licitar'!M56</f>
        <v>44834</v>
      </c>
      <c r="N56" t="str">
        <f>+'[1]A Licitar'!N56</f>
        <v>DIP</v>
      </c>
      <c r="O56" s="1">
        <f>+'[1]A Licitar'!O56</f>
        <v>44864</v>
      </c>
      <c r="P56" s="1">
        <f>+'[1]A Licitar'!P56</f>
        <v>44909</v>
      </c>
      <c r="Q56" s="1">
        <f>+'[1]A Licitar'!Q56</f>
        <v>44999</v>
      </c>
      <c r="R56" s="1">
        <f>+'[1]A Licitar'!R56</f>
        <v>45044</v>
      </c>
      <c r="S56">
        <f>+'[1]A Licitar'!S56</f>
        <v>450</v>
      </c>
      <c r="T56" s="1">
        <f>+'[1]A Licitar'!T56</f>
        <v>45554</v>
      </c>
      <c r="U56">
        <f>+'[1]A Licitar'!U56</f>
        <v>124847800</v>
      </c>
      <c r="V56" s="1">
        <f>+'[1]A Licitar'!V56</f>
        <v>43374</v>
      </c>
    </row>
    <row r="57" spans="1:22" x14ac:dyDescent="0.35">
      <c r="A57" t="str">
        <f>+'[1]A Licitar'!A57</f>
        <v>C</v>
      </c>
      <c r="B57" t="str">
        <f>+'[1]A Licitar'!B57</f>
        <v>EXPANSIÓN</v>
      </c>
      <c r="C57" t="str">
        <f>+'[1]A Licitar'!C57</f>
        <v>AYSA</v>
      </c>
      <c r="D57" t="str">
        <f>+'[1]A Licitar'!D57</f>
        <v>SUDESTE</v>
      </c>
      <c r="E57" t="str">
        <f>+'[1]A Licitar'!E57</f>
        <v>QUILMES</v>
      </c>
      <c r="F57" t="str">
        <f>+'[1]A Licitar'!F57</f>
        <v>RED SECUNDARIA</v>
      </c>
      <c r="G57">
        <f>+'[1]A Licitar'!G57</f>
        <v>2844</v>
      </c>
      <c r="H57" t="str">
        <f>+'[1]A Licitar'!H57</f>
        <v>SC70161</v>
      </c>
      <c r="I57" t="str">
        <f>+'[1]A Licitar'!I57</f>
        <v>RED SECUNDARIA CLOACAL BALNEARIO 1 - ETAPA 1</v>
      </c>
      <c r="J57" t="str">
        <f>+'[1]A Licitar'!J57</f>
        <v>5-EN PROYECTO</v>
      </c>
      <c r="K57" t="str">
        <f>+'[1]A Licitar'!K57</f>
        <v>PROY EN ELABORACIÓN</v>
      </c>
      <c r="L57" t="str">
        <f>+'[1]A Licitar'!L57</f>
        <v>Pliego 2022</v>
      </c>
      <c r="M57" s="1">
        <f>+'[1]A Licitar'!M57</f>
        <v>44864</v>
      </c>
      <c r="N57" t="str">
        <f>+'[1]A Licitar'!N57</f>
        <v>DIP</v>
      </c>
      <c r="O57" s="1">
        <f>+'[1]A Licitar'!O57</f>
        <v>44895</v>
      </c>
      <c r="P57" s="1">
        <f>+'[1]A Licitar'!P57</f>
        <v>44940</v>
      </c>
      <c r="Q57" s="1">
        <f>+'[1]A Licitar'!Q57</f>
        <v>45030</v>
      </c>
      <c r="R57" s="1">
        <f>+'[1]A Licitar'!R57</f>
        <v>45075</v>
      </c>
      <c r="S57">
        <f>+'[1]A Licitar'!S57</f>
        <v>450</v>
      </c>
      <c r="T57" s="1">
        <f>+'[1]A Licitar'!T57</f>
        <v>45585</v>
      </c>
      <c r="U57">
        <f>+'[1]A Licitar'!U57</f>
        <v>108369836.08</v>
      </c>
      <c r="V57" s="1">
        <f>+'[1]A Licitar'!V57</f>
        <v>44105</v>
      </c>
    </row>
    <row r="58" spans="1:22" x14ac:dyDescent="0.35">
      <c r="A58" t="str">
        <f>+'[1]A Licitar'!A58</f>
        <v>C</v>
      </c>
      <c r="B58" t="str">
        <f>+'[1]A Licitar'!B58</f>
        <v>EXPANSIÓN</v>
      </c>
      <c r="C58" t="str">
        <f>+'[1]A Licitar'!C58</f>
        <v>AYSA</v>
      </c>
      <c r="D58" t="str">
        <f>+'[1]A Licitar'!D58</f>
        <v>SUDESTE</v>
      </c>
      <c r="E58" t="str">
        <f>+'[1]A Licitar'!E58</f>
        <v>QUILMES</v>
      </c>
      <c r="F58" t="str">
        <f>+'[1]A Licitar'!F58</f>
        <v>RED SECUNDARIA</v>
      </c>
      <c r="G58">
        <f>+'[1]A Licitar'!G58</f>
        <v>3128</v>
      </c>
      <c r="H58" t="str">
        <f>+'[1]A Licitar'!H58</f>
        <v>SC70164</v>
      </c>
      <c r="I58" t="str">
        <f>+'[1]A Licitar'!I58</f>
        <v>RED SECUNDARIA CLOACAL BALNEARIO 4</v>
      </c>
      <c r="J58" t="str">
        <f>+'[1]A Licitar'!J58</f>
        <v>5-EN PROYECTO</v>
      </c>
      <c r="K58" t="str">
        <f>+'[1]A Licitar'!K58</f>
        <v>PROY EN ELABORACIÓN</v>
      </c>
      <c r="L58" t="str">
        <f>+'[1]A Licitar'!L58</f>
        <v>Pliego 2022</v>
      </c>
      <c r="M58" s="1">
        <f>+'[1]A Licitar'!M58</f>
        <v>44864</v>
      </c>
      <c r="N58" t="str">
        <f>+'[1]A Licitar'!N58</f>
        <v>DIP</v>
      </c>
      <c r="O58" s="1">
        <f>+'[1]A Licitar'!O58</f>
        <v>44895</v>
      </c>
      <c r="P58" s="1">
        <f>+'[1]A Licitar'!P58</f>
        <v>44940</v>
      </c>
      <c r="Q58" s="1">
        <f>+'[1]A Licitar'!Q58</f>
        <v>45030</v>
      </c>
      <c r="R58" s="1">
        <f>+'[1]A Licitar'!R58</f>
        <v>45075</v>
      </c>
      <c r="S58">
        <f>+'[1]A Licitar'!S58</f>
        <v>450</v>
      </c>
      <c r="T58" s="1">
        <f>+'[1]A Licitar'!T58</f>
        <v>45585</v>
      </c>
      <c r="U58">
        <f>+'[1]A Licitar'!U58</f>
        <v>124847800</v>
      </c>
      <c r="V58" s="1">
        <f>+'[1]A Licitar'!V58</f>
        <v>44105</v>
      </c>
    </row>
    <row r="59" spans="1:22" x14ac:dyDescent="0.35">
      <c r="A59" t="str">
        <f>+'[1]A Licitar'!A59</f>
        <v>C</v>
      </c>
      <c r="B59" t="str">
        <f>+'[1]A Licitar'!B59</f>
        <v>EXPANSIÓN</v>
      </c>
      <c r="C59" t="str">
        <f>+'[1]A Licitar'!C59</f>
        <v>AYSA</v>
      </c>
      <c r="D59" t="str">
        <f>+'[1]A Licitar'!D59</f>
        <v>SUDESTE</v>
      </c>
      <c r="E59" t="str">
        <f>+'[1]A Licitar'!E59</f>
        <v>QUILMES</v>
      </c>
      <c r="F59" t="str">
        <f>+'[1]A Licitar'!F59</f>
        <v>RED SECUNDARIA</v>
      </c>
      <c r="G59">
        <f>+'[1]A Licitar'!G59</f>
        <v>3877</v>
      </c>
      <c r="H59" t="str">
        <f>+'[1]A Licitar'!H59</f>
        <v>S/P3</v>
      </c>
      <c r="I59" t="str">
        <f>+'[1]A Licitar'!I59</f>
        <v>RED SECUNDARIA CLOACAL BALNEARIO 1 - ETAPA 2</v>
      </c>
      <c r="J59" t="str">
        <f>+'[1]A Licitar'!J59</f>
        <v>5-EN PROYECTO</v>
      </c>
      <c r="K59" t="str">
        <f>+'[1]A Licitar'!K59</f>
        <v>PROY EN ELABORACIÓN</v>
      </c>
      <c r="L59" t="str">
        <f>+'[1]A Licitar'!L59</f>
        <v>Pliego 2022</v>
      </c>
      <c r="M59" s="1">
        <f>+'[1]A Licitar'!M59</f>
        <v>44864</v>
      </c>
      <c r="N59" t="str">
        <f>+'[1]A Licitar'!N59</f>
        <v>DIP</v>
      </c>
      <c r="O59" s="1">
        <f>+'[1]A Licitar'!O59</f>
        <v>44895</v>
      </c>
      <c r="P59" s="1">
        <f>+'[1]A Licitar'!P59</f>
        <v>44940</v>
      </c>
      <c r="Q59" s="1">
        <f>+'[1]A Licitar'!Q59</f>
        <v>45030</v>
      </c>
      <c r="R59" s="1">
        <f>+'[1]A Licitar'!R59</f>
        <v>45075</v>
      </c>
      <c r="S59">
        <f>+'[1]A Licitar'!S59</f>
        <v>450</v>
      </c>
      <c r="T59" s="1">
        <f>+'[1]A Licitar'!T59</f>
        <v>45585</v>
      </c>
      <c r="U59">
        <f>+'[1]A Licitar'!U59</f>
        <v>108369836.08</v>
      </c>
      <c r="V59" s="1">
        <f>+'[1]A Licitar'!V59</f>
        <v>44105</v>
      </c>
    </row>
    <row r="60" spans="1:22" x14ac:dyDescent="0.35">
      <c r="A60" t="str">
        <f>+'[1]A Licitar'!A60</f>
        <v>C</v>
      </c>
      <c r="B60" t="str">
        <f>+'[1]A Licitar'!B60</f>
        <v>EXPANSIÓN</v>
      </c>
      <c r="C60" t="str">
        <f>+'[1]A Licitar'!C60</f>
        <v>AYSA</v>
      </c>
      <c r="D60" t="str">
        <f>+'[1]A Licitar'!D60</f>
        <v>OESTE</v>
      </c>
      <c r="E60" t="str">
        <f>+'[1]A Licitar'!E60</f>
        <v>LA MATANZA</v>
      </c>
      <c r="F60" t="str">
        <f>+'[1]A Licitar'!F60</f>
        <v>RED SECUNDARIA</v>
      </c>
      <c r="G60">
        <f>+'[1]A Licitar'!G60</f>
        <v>6849</v>
      </c>
      <c r="H60" t="str">
        <f>+'[1]A Licitar'!H60</f>
        <v>OC416</v>
      </c>
      <c r="I60" t="str">
        <f>+'[1]A Licitar'!I60</f>
        <v>RED SECUNDARIA CLOACAL - SUBCUENCA LMO-GC-03 - BARRIO LOS CEIBOS II</v>
      </c>
      <c r="J60" t="str">
        <f>+'[1]A Licitar'!J60</f>
        <v>5-EN PROYECTO</v>
      </c>
      <c r="K60" t="str">
        <f>+'[1]A Licitar'!K60</f>
        <v>REALIZADO EN DPT/DIP</v>
      </c>
      <c r="L60" t="str">
        <f>+'[1]A Licitar'!L60</f>
        <v>Pliego 2022</v>
      </c>
      <c r="M60" s="1">
        <f>+'[1]A Licitar'!M60</f>
        <v>44864</v>
      </c>
      <c r="N60" t="str">
        <f>+'[1]A Licitar'!N60</f>
        <v>DIP</v>
      </c>
      <c r="O60" s="1">
        <f>+'[1]A Licitar'!O60</f>
        <v>44895</v>
      </c>
      <c r="P60" s="1">
        <f>+'[1]A Licitar'!P60</f>
        <v>44940</v>
      </c>
      <c r="Q60" s="1">
        <f>+'[1]A Licitar'!Q60</f>
        <v>45030</v>
      </c>
      <c r="R60" s="1">
        <f>+'[1]A Licitar'!R60</f>
        <v>45075</v>
      </c>
      <c r="S60">
        <f>+'[1]A Licitar'!S60</f>
        <v>450</v>
      </c>
      <c r="T60" s="1">
        <f>+'[1]A Licitar'!T60</f>
        <v>45585</v>
      </c>
      <c r="U60">
        <f>+'[1]A Licitar'!U60</f>
        <v>135529907.47999999</v>
      </c>
      <c r="V60" s="1">
        <f>+'[1]A Licitar'!V60</f>
        <v>43374</v>
      </c>
    </row>
    <row r="61" spans="1:22" x14ac:dyDescent="0.35">
      <c r="A61" t="str">
        <f>+'[1]A Licitar'!A61</f>
        <v>C</v>
      </c>
      <c r="B61" t="str">
        <f>+'[1]A Licitar'!B61</f>
        <v>EXPANSIÓN</v>
      </c>
      <c r="C61" t="str">
        <f>+'[1]A Licitar'!C61</f>
        <v>AYSA</v>
      </c>
      <c r="D61" t="str">
        <f>+'[1]A Licitar'!D61</f>
        <v>OESTE</v>
      </c>
      <c r="E61" t="str">
        <f>+'[1]A Licitar'!E61</f>
        <v>LA MATANZA</v>
      </c>
      <c r="F61" t="str">
        <f>+'[1]A Licitar'!F61</f>
        <v>RED SECUNDARIA</v>
      </c>
      <c r="G61">
        <f>+'[1]A Licitar'!G61</f>
        <v>10000</v>
      </c>
      <c r="H61" t="str">
        <f>+'[1]A Licitar'!H61</f>
        <v>OC417</v>
      </c>
      <c r="I61" t="str">
        <f>+'[1]A Licitar'!I61</f>
        <v>RED SECUNDARIA CLOACAL - SUBCUENCA LMO-GC-04 - BARRIO LOS CEIBOS III</v>
      </c>
      <c r="J61" t="str">
        <f>+'[1]A Licitar'!J61</f>
        <v>5-EN PROYECTO</v>
      </c>
      <c r="K61" t="str">
        <f>+'[1]A Licitar'!K61</f>
        <v>REALIZADO EN DPT/DIP</v>
      </c>
      <c r="L61" t="str">
        <f>+'[1]A Licitar'!L61</f>
        <v>Pliego 2022</v>
      </c>
      <c r="M61" s="1">
        <f>+'[1]A Licitar'!M61</f>
        <v>44864</v>
      </c>
      <c r="N61" t="str">
        <f>+'[1]A Licitar'!N61</f>
        <v>DIP</v>
      </c>
      <c r="O61" s="1">
        <f>+'[1]A Licitar'!O61</f>
        <v>44895</v>
      </c>
      <c r="P61" s="1">
        <f>+'[1]A Licitar'!P61</f>
        <v>44940</v>
      </c>
      <c r="Q61" s="1">
        <f>+'[1]A Licitar'!Q61</f>
        <v>45030</v>
      </c>
      <c r="R61" s="1">
        <f>+'[1]A Licitar'!R61</f>
        <v>45075</v>
      </c>
      <c r="S61">
        <f>+'[1]A Licitar'!S61</f>
        <v>600</v>
      </c>
      <c r="T61" s="1">
        <f>+'[1]A Licitar'!T61</f>
        <v>45735</v>
      </c>
      <c r="U61">
        <f>+'[1]A Licitar'!U61</f>
        <v>217299055.16000003</v>
      </c>
      <c r="V61" s="1">
        <f>+'[1]A Licitar'!V61</f>
        <v>43374</v>
      </c>
    </row>
    <row r="62" spans="1:22" x14ac:dyDescent="0.35">
      <c r="A62" t="str">
        <f>+'[1]A Licitar'!A62</f>
        <v>C</v>
      </c>
      <c r="B62" t="str">
        <f>+'[1]A Licitar'!B62</f>
        <v>EXPANSIÓN</v>
      </c>
      <c r="C62" t="str">
        <f>+'[1]A Licitar'!C62</f>
        <v>AYSA</v>
      </c>
      <c r="D62" t="str">
        <f>+'[1]A Licitar'!D62</f>
        <v>SUDOESTE</v>
      </c>
      <c r="E62" t="str">
        <f>+'[1]A Licitar'!E62</f>
        <v>ALMIRANTE BROWN</v>
      </c>
      <c r="F62" t="str">
        <f>+'[1]A Licitar'!F62</f>
        <v>RED SECUNDARIA</v>
      </c>
      <c r="G62">
        <f>+'[1]A Licitar'!G62</f>
        <v>15579</v>
      </c>
      <c r="H62" t="str">
        <f>+'[1]A Licitar'!H62</f>
        <v>SC70175</v>
      </c>
      <c r="I62" t="str">
        <f>+'[1]A Licitar'!I62</f>
        <v>RED SECUNDARIA CLOACAL DON ORIONE 2</v>
      </c>
      <c r="J62" t="str">
        <f>+'[1]A Licitar'!J62</f>
        <v>5-EN PROYECTO</v>
      </c>
      <c r="K62" t="str">
        <f>+'[1]A Licitar'!K62</f>
        <v>PROY A ELABORAR</v>
      </c>
      <c r="L62" t="str">
        <f>+'[1]A Licitar'!L62</f>
        <v>Pliego 2022</v>
      </c>
      <c r="M62" s="1">
        <f>+'[1]A Licitar'!M62</f>
        <v>44895</v>
      </c>
      <c r="N62" t="str">
        <f>+'[1]A Licitar'!N62</f>
        <v>DIP</v>
      </c>
      <c r="O62" s="1">
        <f>+'[1]A Licitar'!O62</f>
        <v>44925</v>
      </c>
      <c r="P62" s="1">
        <f>+'[1]A Licitar'!P62</f>
        <v>44970</v>
      </c>
      <c r="Q62" s="1">
        <f>+'[1]A Licitar'!Q62</f>
        <v>45060</v>
      </c>
      <c r="R62" s="1">
        <f>+'[1]A Licitar'!R62</f>
        <v>45105</v>
      </c>
      <c r="S62">
        <f>+'[1]A Licitar'!S62</f>
        <v>600</v>
      </c>
      <c r="T62" s="1">
        <f>+'[1]A Licitar'!T62</f>
        <v>45765</v>
      </c>
      <c r="U62">
        <f>+'[1]A Licitar'!U62</f>
        <v>264288200</v>
      </c>
      <c r="V62" s="1">
        <f>+'[1]A Licitar'!V62</f>
        <v>43374</v>
      </c>
    </row>
    <row r="63" spans="1:22" x14ac:dyDescent="0.35">
      <c r="A63" t="str">
        <f>+'[1]A Licitar'!A63</f>
        <v>C</v>
      </c>
      <c r="B63" t="str">
        <f>+'[1]A Licitar'!B63</f>
        <v>EXPANSIÓN</v>
      </c>
      <c r="C63" t="str">
        <f>+'[1]A Licitar'!C63</f>
        <v>AYSA</v>
      </c>
      <c r="D63" t="str">
        <f>+'[1]A Licitar'!D63</f>
        <v>SUDESTE</v>
      </c>
      <c r="E63" t="str">
        <f>+'[1]A Licitar'!E63</f>
        <v>LANÚS</v>
      </c>
      <c r="F63" t="str">
        <f>+'[1]A Licitar'!F63</f>
        <v>RED SECUNDARIA</v>
      </c>
      <c r="G63">
        <f>+'[1]A Licitar'!G63</f>
        <v>900</v>
      </c>
      <c r="H63" t="str">
        <f>+'[1]A Licitar'!H63</f>
        <v>S/P3</v>
      </c>
      <c r="I63" t="str">
        <f>+'[1]A Licitar'!I63</f>
        <v>RED SECUNDARIA CLOACAL CARAZA 2 - SUBCUENCA ACUBA - RESTO</v>
      </c>
      <c r="J63" t="str">
        <f>+'[1]A Licitar'!J63</f>
        <v>5-EN PROYECTO</v>
      </c>
      <c r="K63" t="str">
        <f>+'[1]A Licitar'!K63</f>
        <v>PROY A ELABORAR</v>
      </c>
      <c r="L63" t="str">
        <f>+'[1]A Licitar'!L63</f>
        <v>Pliego 2022</v>
      </c>
      <c r="M63" s="1">
        <f>+'[1]A Licitar'!M63</f>
        <v>44895</v>
      </c>
      <c r="N63" t="str">
        <f>+'[1]A Licitar'!N63</f>
        <v>DIP</v>
      </c>
      <c r="O63" s="1">
        <f>+'[1]A Licitar'!O63</f>
        <v>44925</v>
      </c>
      <c r="P63" s="1">
        <f>+'[1]A Licitar'!P63</f>
        <v>44970</v>
      </c>
      <c r="Q63" s="1">
        <f>+'[1]A Licitar'!Q63</f>
        <v>45060</v>
      </c>
      <c r="R63" s="1">
        <f>+'[1]A Licitar'!R63</f>
        <v>45105</v>
      </c>
      <c r="S63">
        <f>+'[1]A Licitar'!S63</f>
        <v>240</v>
      </c>
      <c r="T63" s="1">
        <f>+'[1]A Licitar'!T63</f>
        <v>45405</v>
      </c>
      <c r="U63">
        <f>+'[1]A Licitar'!U63</f>
        <v>12971200</v>
      </c>
      <c r="V63" s="1">
        <f>+'[1]A Licitar'!V63</f>
        <v>43374</v>
      </c>
    </row>
    <row r="64" spans="1:22" x14ac:dyDescent="0.35">
      <c r="A64" t="str">
        <f>+'[1]A Licitar'!A64</f>
        <v>C</v>
      </c>
      <c r="B64" t="str">
        <f>+'[1]A Licitar'!B64</f>
        <v>EXPANSIÓN</v>
      </c>
      <c r="C64" t="str">
        <f>+'[1]A Licitar'!C64</f>
        <v>AYSA</v>
      </c>
      <c r="D64" t="str">
        <f>+'[1]A Licitar'!D64</f>
        <v>SUDOESTE</v>
      </c>
      <c r="E64" t="str">
        <f>+'[1]A Licitar'!E64</f>
        <v>ALMIRANTE BROWN</v>
      </c>
      <c r="F64" t="str">
        <f>+'[1]A Licitar'!F64</f>
        <v>RED SECUNDARIA</v>
      </c>
      <c r="G64">
        <f>+'[1]A Licitar'!G64</f>
        <v>7313</v>
      </c>
      <c r="H64" t="str">
        <f>+'[1]A Licitar'!H64</f>
        <v>SC70012</v>
      </c>
      <c r="I64" t="str">
        <f>+'[1]A Licitar'!I64</f>
        <v>RED SECUNDARIA CLOACAL BARRIO CLAYPOLE 2</v>
      </c>
      <c r="J64" t="str">
        <f>+'[1]A Licitar'!J64</f>
        <v>5-EN PROYECTO</v>
      </c>
      <c r="K64" t="str">
        <f>+'[1]A Licitar'!K64</f>
        <v>REALIZADO EN DPT/DIP</v>
      </c>
      <c r="L64" t="str">
        <f>+'[1]A Licitar'!L64</f>
        <v>Pliego 2022</v>
      </c>
      <c r="M64" s="1">
        <f>+'[1]A Licitar'!M64</f>
        <v>44895</v>
      </c>
      <c r="N64" t="str">
        <f>+'[1]A Licitar'!N64</f>
        <v>DIP</v>
      </c>
      <c r="O64" s="1">
        <f>+'[1]A Licitar'!O64</f>
        <v>44925</v>
      </c>
      <c r="P64" s="1">
        <f>+'[1]A Licitar'!P64</f>
        <v>44970</v>
      </c>
      <c r="Q64" s="1">
        <f>+'[1]A Licitar'!Q64</f>
        <v>45060</v>
      </c>
      <c r="R64" s="1">
        <f>+'[1]A Licitar'!R64</f>
        <v>45105</v>
      </c>
      <c r="S64">
        <f>+'[1]A Licitar'!S64</f>
        <v>390</v>
      </c>
      <c r="T64" s="1">
        <f>+'[1]A Licitar'!T64</f>
        <v>45555</v>
      </c>
      <c r="U64">
        <f>+'[1]A Licitar'!U64</f>
        <v>296265738.22740948</v>
      </c>
      <c r="V64" s="1">
        <f>+'[1]A Licitar'!V64</f>
        <v>43922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I</dc:creator>
  <cp:lastModifiedBy>Juan I</cp:lastModifiedBy>
  <dcterms:created xsi:type="dcterms:W3CDTF">2015-06-05T18:17:20Z</dcterms:created>
  <dcterms:modified xsi:type="dcterms:W3CDTF">2021-09-07T13:27:30Z</dcterms:modified>
</cp:coreProperties>
</file>